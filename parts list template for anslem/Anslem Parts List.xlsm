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c\Desktop\UNI\Electronics And Telecommuncations Bach\Year 3\4. Research Project (Thur)\parts list template for anslem\"/>
    </mc:Choice>
  </mc:AlternateContent>
  <xr:revisionPtr revIDLastSave="0" documentId="13_ncr:1_{46BAC09C-E70D-413F-99F7-6BD36BF6F8C6}" xr6:coauthVersionLast="45" xr6:coauthVersionMax="45" xr10:uidLastSave="{00000000-0000-0000-0000-000000000000}"/>
  <bookViews>
    <workbookView xWindow="-96" yWindow="-96" windowWidth="19392" windowHeight="10536" xr2:uid="{F171F75D-AB79-439A-B9BB-AB557E1853B8}"/>
  </bookViews>
  <sheets>
    <sheet name="Part List" sheetId="1" r:id="rId1"/>
    <sheet name="Misc Part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6" i="2" l="1"/>
  <c r="A51" i="1" l="1"/>
  <c r="F51" i="1" s="1"/>
  <c r="E51" i="1"/>
</calcChain>
</file>

<file path=xl/sharedStrings.xml><?xml version="1.0" encoding="utf-8"?>
<sst xmlns="http://schemas.openxmlformats.org/spreadsheetml/2006/main" count="59" uniqueCount="42">
  <si>
    <t>Parts Reference</t>
  </si>
  <si>
    <t>Type</t>
  </si>
  <si>
    <t>Budget</t>
  </si>
  <si>
    <t>Part</t>
  </si>
  <si>
    <t>Quantity</t>
  </si>
  <si>
    <t>Price</t>
  </si>
  <si>
    <t>Seller</t>
  </si>
  <si>
    <t>Avail at</t>
  </si>
  <si>
    <t>Comment</t>
  </si>
  <si>
    <t>Balloon</t>
  </si>
  <si>
    <t>University</t>
  </si>
  <si>
    <t>600g Latex Balloon</t>
  </si>
  <si>
    <t>Random Engineering ltd</t>
  </si>
  <si>
    <t>Radio</t>
  </si>
  <si>
    <t>uBlox Max-M8Q-10</t>
  </si>
  <si>
    <t>1</t>
  </si>
  <si>
    <t>Uputronics</t>
  </si>
  <si>
    <t>http://www.randomengineering.co.uk/Random_Aerospace/Balloons.html</t>
  </si>
  <si>
    <t>Kaymont: 600g totex TA600 natural latex, helium 1-2lbs payload 250m/min 02.11.19</t>
  </si>
  <si>
    <t>https://store.uputronics.com/index.php?route=product/product&amp;path=60_64&amp;product_id=84</t>
  </si>
  <si>
    <t>This GPS module is proven to work beyond the altitude that the average GPS module will stop working. So there is no radio down time.</t>
  </si>
  <si>
    <t>Radiometrix NTX2B</t>
  </si>
  <si>
    <t>Radiometrix</t>
  </si>
  <si>
    <t>https://radiometrix.mybigcommerce.com/ntx2b-uhf-narrow-band-fm-transmitter-frequency-434-075mhz-434-650mhz-and-458-700mhz/</t>
  </si>
  <si>
    <t>Price Total</t>
  </si>
  <si>
    <t>Personal Budget</t>
  </si>
  <si>
    <t>University Budget</t>
  </si>
  <si>
    <t>Niki Project Donation</t>
  </si>
  <si>
    <t>Total Uni Budget</t>
  </si>
  <si>
    <t>Remainging Budget Left To Use</t>
  </si>
  <si>
    <t>Calculated Value</t>
  </si>
  <si>
    <t>Typed value</t>
  </si>
  <si>
    <t>Riccardo</t>
  </si>
  <si>
    <t>https://www.amazon.co.uk/ELEGOO-Breadboard-Solderless-Distribution-Connecting/dp/B01M0QJTI5/ref=sr_1_3?keywords=breadboard&amp;qid=1575160260&amp;sr=8-3</t>
  </si>
  <si>
    <t>3x 380 hole bread boards, 3 for testing multiple circuits without having to dissamble each time</t>
  </si>
  <si>
    <t>Amazon:ELEGOO Offical</t>
  </si>
  <si>
    <t>Electronics</t>
  </si>
  <si>
    <t>x3 830 Point Breadboard</t>
  </si>
  <si>
    <t>https://www.ebay.co.uk/itm/5-in-1-RAB-Holder-Breadboard-ABS-Base-For-Raspberry-Pi-Arduino-UNO-R3-Mega-GB/303372417361#shpCntId</t>
  </si>
  <si>
    <t>Ebay:zysysy2012</t>
  </si>
  <si>
    <t>5 in 1 RAB Holder Breadboard ABS Base</t>
  </si>
  <si>
    <t>This conviently holds the breadboard and microctroller on a fixed plane. A life saver when dealing with electronics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</si>
</sst>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£&quot;#,##0.00"/>
    <numFmt numFmtId="165" formatCode="&quot;£&quot;#,##0.00;[Red]&quot;£&quot;#,##0.00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3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3" fillId="0" borderId="0" xfId="1"/>
    <xf numFmtId="0" fontId="0" fillId="0" borderId="0" xfId="0" applyProtection="1">
      <protection hidden="1"/>
    </xf>
    <xf numFmtId="164" fontId="0" fillId="2" borderId="0" xfId="0" applyNumberFormat="1" applyFill="1"/>
    <xf numFmtId="164" fontId="2" fillId="0" borderId="0" xfId="0" applyNumberFormat="1" applyFont="1"/>
    <xf numFmtId="0" fontId="1" fillId="2" borderId="0" xfId="0" applyFont="1" applyFill="1"/>
    <xf numFmtId="0" fontId="1" fillId="3" borderId="0" xfId="0" applyFont="1" applyFill="1"/>
    <xf numFmtId="164" fontId="0" fillId="0" borderId="0" xfId="0" applyNumberFormat="1" applyAlignment="1">
      <alignment horizontal="right"/>
    </xf>
    <xf numFmtId="0" fontId="4" fillId="0" borderId="0" xfId="0" applyFont="1"/>
    <xf numFmtId="0" fontId="5" fillId="0" borderId="0" xfId="0" applyFont="1"/>
    <xf numFmtId="49" fontId="5" fillId="0" borderId="0" xfId="0" applyNumberFormat="1" applyFont="1"/>
    <xf numFmtId="165" fontId="5" fillId="0" borderId="0" xfId="0" applyNumberFormat="1" applyFont="1"/>
    <xf numFmtId="0" fontId="0" fillId="4" borderId="0" xfId="0" applyFill="1"/>
    <xf numFmtId="164" fontId="0" fillId="4" borderId="0" xfId="0" applyNumberFormat="1" applyFill="1"/>
    <xf numFmtId="164" fontId="0" fillId="3" borderId="0" xfId="0" applyNumberFormat="1" applyFill="1"/>
    <xf numFmtId="164" fontId="5" fillId="0" borderId="0" xfId="0" applyNumberFormat="1" applyFont="1" applyAlignment="1">
      <alignment horizontal="right"/>
    </xf>
    <xf numFmtId="164" fontId="4" fillId="0" borderId="0" xfId="0" applyNumberFormat="1" applyFont="1" applyAlignment="1">
      <alignment horizontal="right"/>
    </xf>
    <xf numFmtId="0" fontId="7" fillId="0" borderId="0" xfId="0" applyFont="1"/>
    <xf numFmtId="164" fontId="7" fillId="0" borderId="0" xfId="0" applyNumberFormat="1" applyFont="1" applyAlignment="1">
      <alignment horizontal="right"/>
    </xf>
    <xf numFmtId="49" fontId="4" fillId="0" borderId="0" xfId="0" applyNumberFormat="1" applyFont="1"/>
    <xf numFmtId="164" fontId="6" fillId="5" borderId="0" xfId="0" applyNumberFormat="1" applyFont="1" applyFill="1"/>
  </cellXfs>
  <cellStyles count="2">
    <cellStyle name="Hyperlink" xfId="1" builtinId="8"/>
    <cellStyle name="Normal" xfId="0" builtinId="0"/>
  </cellStyles>
  <dxfs count="14">
    <dxf>
      <font>
        <color rgb="FFFFFFFF"/>
      </font>
      <numFmt numFmtId="164" formatCode="&quot;£&quot;#,##0.00"/>
      <fill>
        <patternFill patternType="solid">
          <fgColor indexed="64"/>
          <bgColor rgb="FF00FF00"/>
        </patternFill>
      </fill>
    </dxf>
    <dxf>
      <numFmt numFmtId="164" formatCode="&quot;£&quot;#,##0.00"/>
      <fill>
        <patternFill patternType="solid">
          <fgColor indexed="64"/>
          <bgColor theme="0" tint="-0.14999847407452621"/>
        </patternFill>
      </fill>
    </dxf>
    <dxf>
      <numFmt numFmtId="164" formatCode="&quot;£&quot;#,##0.00"/>
      <fill>
        <patternFill patternType="solid">
          <fgColor indexed="64"/>
          <bgColor theme="0" tint="-0.34998626667073579"/>
        </patternFill>
      </fill>
    </dxf>
    <dxf>
      <fill>
        <patternFill patternType="solid">
          <fgColor indexed="64"/>
          <bgColor theme="0" tint="-0.34998626667073579"/>
        </patternFill>
      </fill>
    </dxf>
    <dxf>
      <fill>
        <patternFill patternType="solid">
          <fgColor indexed="64"/>
          <bgColor theme="0" tint="-0.34998626667073579"/>
        </patternFill>
      </fill>
    </dxf>
    <dxf>
      <numFmt numFmtId="164" formatCode="&quot;£&quot;#,##0.00"/>
    </dxf>
    <dxf>
      <numFmt numFmtId="30" formatCode="@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  <fill>
        <patternFill patternType="solid">
          <fgColor indexed="64"/>
          <bgColor theme="0" tint="-0.14999847407452621"/>
        </patternFill>
      </fill>
    </dxf>
    <dxf>
      <numFmt numFmtId="164" formatCode="&quot;£&quot;#,##0.00"/>
    </dxf>
    <dxf>
      <numFmt numFmtId="164" formatCode="&quot;£&quot;#,##0.00"/>
      <alignment horizontal="right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87792-E6D4-4ED3-9ABA-7AF2446267AE}" name="Parts" displayName="Parts" ref="A1:I45" totalsRowShown="0">
  <autoFilter ref="A1:I45" xr:uid="{3F905AC6-8866-46F9-97BA-6C6DBEFDF2AB}"/>
  <tableColumns count="9">
    <tableColumn id="1" xr3:uid="{6ABC0AAA-3556-4988-B4B9-2D0541B84D91}" name="Parts Reference"/>
    <tableColumn id="2" xr3:uid="{70F702D7-4A2E-4A2C-B5A5-0E2AF8CA8D04}" name="Type"/>
    <tableColumn id="3" xr3:uid="{5C95D9FD-43E0-4CC3-8FBF-84E1BD2590B9}" name="Budget"/>
    <tableColumn id="4" xr3:uid="{B07C7CE8-5DD9-4402-B7B7-43ABCE1E2ECF}" name="Part"/>
    <tableColumn id="5" xr3:uid="{AF95AD9F-2153-4FB1-99DE-6EA9A71428A3}" name="Quantity" dataDxfId="13"/>
    <tableColumn id="6" xr3:uid="{8ECA4CEC-9578-491A-89B1-5E153DB2AD43}" name="Price" dataDxfId="12"/>
    <tableColumn id="7" xr3:uid="{EEACEAC9-8B12-4EDC-A4FD-3E973DE4AF9A}" name="Seller"/>
    <tableColumn id="8" xr3:uid="{87A87F23-863C-4D59-A112-7BAB689BB9A7}" name="Avail at"/>
    <tableColumn id="9" xr3:uid="{E01F7407-1806-4601-B9BC-0A36B44FE8CC}" name="Comm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8FCEEB-8274-43EF-A52E-5C1EDC5CB185}" name="Table3" displayName="Table3" ref="A50:F51" totalsRowShown="0" headerRowDxfId="11">
  <autoFilter ref="A50:F51" xr:uid="{4FE4633C-9E63-4F42-B6D2-4251C6126F3B}"/>
  <tableColumns count="6">
    <tableColumn id="1" xr3:uid="{6B5BAC9F-487A-465A-8E4C-E7C5C6306E4D}" name="Price Total" dataDxfId="10">
      <calculatedColumnFormula>SUM(Parts[Price])</calculatedColumnFormula>
    </tableColumn>
    <tableColumn id="5" xr3:uid="{8883DC5E-C573-4EDC-BC29-0755D14BDD59}" name="Personal Budget" dataDxfId="9"/>
    <tableColumn id="2" xr3:uid="{F753D5EC-56D2-487B-B2CD-6029A4FBAF86}" name="University Budget" dataDxfId="8"/>
    <tableColumn id="3" xr3:uid="{8C6A98BA-7DC7-4D8A-AE69-CE06A1D65F31}" name="Niki Project Donation" dataDxfId="7"/>
    <tableColumn id="4" xr3:uid="{B874739F-BCD6-455E-885D-65C91CB22C90}" name="Total Uni Budget" dataDxfId="1">
      <calculatedColumnFormula>SUM(Table3[[#This Row],[University Budget]],Table3[[#This Row],[Niki Project Donation]])</calculatedColumnFormula>
    </tableColumn>
    <tableColumn id="6" xr3:uid="{DE8AC615-0484-4844-A2C7-895BA0C8863E}" name="Remainging Budget Left To Use" dataDxfId="0">
      <calculatedColumnFormula>(Table3[[#This Row],[Personal Budget]]+Table3[[#This Row],[Total Uni Budget]])-Table3[[#This Row],[Price Total]]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CD4FEF7-F332-4DB0-9292-8B149F9CD3F0}" name="Table5" displayName="Table5" ref="A1:I4" totalsRowShown="0">
  <autoFilter ref="A1:I4" xr:uid="{BDFBED82-01D7-47DA-95D4-BA011EADC8E4}"/>
  <tableColumns count="9">
    <tableColumn id="1" xr3:uid="{0964D214-360F-471F-A3AD-AB40D32881F3}" name="Parts Reference"/>
    <tableColumn id="2" xr3:uid="{04E61DAC-BCF8-4B0E-9C80-564831785550}" name="Type"/>
    <tableColumn id="3" xr3:uid="{1E10E1D7-FCCB-4CA5-8C19-8DD3FFD4E03C}" name="Budget"/>
    <tableColumn id="4" xr3:uid="{92FFD4AE-9ADA-4B13-8FA0-155816CC2584}" name="Part"/>
    <tableColumn id="5" xr3:uid="{B010015C-B593-46EC-A77E-C32EA7E7FC21}" name="Quantity" dataDxfId="6"/>
    <tableColumn id="6" xr3:uid="{13B96A8D-7C07-486C-AE9F-0C5D51ED7581}" name="Price" dataDxfId="5"/>
    <tableColumn id="7" xr3:uid="{269B34C7-543A-46F6-A6C3-7DF216B616FF}" name="Seller"/>
    <tableColumn id="8" xr3:uid="{01A7991C-BB05-4802-9D7E-F73BFC5A2325}" name="Avail at"/>
    <tableColumn id="9" xr3:uid="{920DC693-7AE3-4FA9-A790-4169C872B928}" name="Comm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4E86013-06E7-4D61-8595-A14886964672}" name="Table6" displayName="Table6" ref="A15:A16" totalsRowShown="0" headerRowDxfId="4" dataDxfId="3">
  <autoFilter ref="A15:A16" xr:uid="{14D0B7E6-DDE7-48DB-A031-A94D7B773D6A}"/>
  <tableColumns count="1">
    <tableColumn id="1" xr3:uid="{DB3E6F9A-B564-4736-8E7A-A4CBCC9F89F1}" name="Price Total" dataDxfId="2">
      <calculatedColumnFormula>SUM(Table5[Price])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hyperlink" Target="https://www.ebay.co.uk/itm/5-in-1-RAB-Holder-Breadboard-ABS-Base-For-Raspberry-Pi-Arduino-UNO-R3-Mega-GB/303372417361" TargetMode="External"/><Relationship Id="rId1" Type="http://schemas.openxmlformats.org/officeDocument/2006/relationships/hyperlink" Target="https://www.amazon.co.uk/ELEGOO-Breadboard-Solderless-Distribution-Connecting/dp/B01M0QJTI5/ref=sr_1_3?keywords=breadboard&amp;qid=1575160260&amp;sr=8-3" TargetMode="Externa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16AD7-DE12-48FD-89AD-5F348FE780AF}">
  <sheetPr codeName="Sheet1"/>
  <dimension ref="A1:K51"/>
  <sheetViews>
    <sheetView tabSelected="1" topLeftCell="A34" zoomScale="70" zoomScaleNormal="70" workbookViewId="0">
      <selection activeCell="F55" sqref="F55"/>
    </sheetView>
  </sheetViews>
  <sheetFormatPr defaultRowHeight="14.5" x14ac:dyDescent="0.35"/>
  <cols>
    <col min="1" max="1" width="20.6328125" customWidth="1"/>
    <col min="2" max="2" width="18.26953125" customWidth="1"/>
    <col min="3" max="3" width="18.1796875" customWidth="1"/>
    <col min="4" max="4" width="31.1796875" customWidth="1"/>
    <col min="5" max="5" width="18.90625" style="2" customWidth="1"/>
    <col min="6" max="6" width="37.81640625" style="1" customWidth="1"/>
    <col min="7" max="7" width="20.54296875" customWidth="1"/>
    <col min="8" max="8" width="133.54296875" bestFit="1" customWidth="1"/>
    <col min="9" max="9" width="232.26953125" bestFit="1" customWidth="1"/>
  </cols>
  <sheetData>
    <row r="1" spans="1:11" x14ac:dyDescent="0.35">
      <c r="A1" t="s">
        <v>0</v>
      </c>
      <c r="B1" t="s">
        <v>1</v>
      </c>
      <c r="C1" t="s">
        <v>2</v>
      </c>
      <c r="D1" t="s">
        <v>3</v>
      </c>
      <c r="E1" s="2" t="s">
        <v>4</v>
      </c>
      <c r="F1" s="16" t="s">
        <v>5</v>
      </c>
      <c r="G1" t="s">
        <v>6</v>
      </c>
      <c r="H1" t="s">
        <v>7</v>
      </c>
      <c r="I1" t="s">
        <v>8</v>
      </c>
    </row>
    <row r="2" spans="1:11" x14ac:dyDescent="0.35">
      <c r="A2">
        <v>1</v>
      </c>
      <c r="B2" t="s">
        <v>9</v>
      </c>
      <c r="C2" t="s">
        <v>10</v>
      </c>
      <c r="D2" t="s">
        <v>11</v>
      </c>
      <c r="E2" s="2">
        <v>1</v>
      </c>
      <c r="F2" s="9">
        <v>31.7</v>
      </c>
      <c r="G2" t="s">
        <v>12</v>
      </c>
      <c r="H2" t="s">
        <v>17</v>
      </c>
      <c r="I2" t="s">
        <v>18</v>
      </c>
    </row>
    <row r="3" spans="1:11" x14ac:dyDescent="0.35">
      <c r="A3">
        <v>2</v>
      </c>
      <c r="B3" t="s">
        <v>13</v>
      </c>
      <c r="C3" t="s">
        <v>10</v>
      </c>
      <c r="D3" t="s">
        <v>14</v>
      </c>
      <c r="E3" s="2" t="s">
        <v>15</v>
      </c>
      <c r="F3" s="9">
        <v>26.39</v>
      </c>
      <c r="G3" t="s">
        <v>16</v>
      </c>
      <c r="H3" t="s">
        <v>19</v>
      </c>
      <c r="I3" t="s">
        <v>20</v>
      </c>
    </row>
    <row r="4" spans="1:11" x14ac:dyDescent="0.35">
      <c r="A4">
        <v>3</v>
      </c>
      <c r="B4" t="s">
        <v>13</v>
      </c>
      <c r="C4" t="s">
        <v>10</v>
      </c>
      <c r="D4" t="s">
        <v>21</v>
      </c>
      <c r="E4" s="2" t="s">
        <v>15</v>
      </c>
      <c r="F4" s="9">
        <v>21</v>
      </c>
      <c r="G4" t="s">
        <v>22</v>
      </c>
      <c r="H4" s="3" t="s">
        <v>23</v>
      </c>
      <c r="I4" s="4"/>
    </row>
    <row r="5" spans="1:11" x14ac:dyDescent="0.35">
      <c r="F5" s="9"/>
    </row>
    <row r="6" spans="1:11" x14ac:dyDescent="0.35">
      <c r="F6" s="9"/>
    </row>
    <row r="7" spans="1:11" x14ac:dyDescent="0.35">
      <c r="F7" s="9"/>
      <c r="H7" s="3"/>
    </row>
    <row r="8" spans="1:11" x14ac:dyDescent="0.35">
      <c r="F8" s="9"/>
    </row>
    <row r="9" spans="1:11" x14ac:dyDescent="0.35">
      <c r="F9" s="9"/>
      <c r="G9" s="11"/>
    </row>
    <row r="10" spans="1:11" x14ac:dyDescent="0.35">
      <c r="F10" s="9"/>
    </row>
    <row r="11" spans="1:11" x14ac:dyDescent="0.35">
      <c r="F11" s="9"/>
    </row>
    <row r="12" spans="1:11" s="11" customFormat="1" x14ac:dyDescent="0.35">
      <c r="E12" s="12"/>
      <c r="F12" s="17"/>
      <c r="H12" s="10"/>
      <c r="K12" s="13"/>
    </row>
    <row r="13" spans="1:11" x14ac:dyDescent="0.35">
      <c r="F13" s="9"/>
      <c r="H13" s="10"/>
    </row>
    <row r="14" spans="1:11" x14ac:dyDescent="0.35">
      <c r="F14" s="9"/>
      <c r="H14" s="10"/>
    </row>
    <row r="15" spans="1:11" x14ac:dyDescent="0.35">
      <c r="F15" s="9"/>
    </row>
    <row r="16" spans="1:11" x14ac:dyDescent="0.35">
      <c r="F16" s="9"/>
      <c r="H16" s="10"/>
    </row>
    <row r="17" spans="5:8" x14ac:dyDescent="0.35">
      <c r="F17" s="9"/>
      <c r="H17" s="3"/>
    </row>
    <row r="18" spans="5:8" x14ac:dyDescent="0.35">
      <c r="F18" s="9"/>
      <c r="H18" s="3"/>
    </row>
    <row r="19" spans="5:8" x14ac:dyDescent="0.35">
      <c r="F19" s="9"/>
      <c r="G19" s="19"/>
      <c r="H19" s="19"/>
    </row>
    <row r="20" spans="5:8" s="11" customFormat="1" x14ac:dyDescent="0.35">
      <c r="E20" s="12"/>
      <c r="F20" s="17"/>
      <c r="H20" s="10"/>
    </row>
    <row r="21" spans="5:8" s="11" customFormat="1" x14ac:dyDescent="0.35">
      <c r="E21" s="12"/>
      <c r="F21" s="17"/>
      <c r="H21" s="10"/>
    </row>
    <row r="22" spans="5:8" x14ac:dyDescent="0.35">
      <c r="F22" s="9"/>
      <c r="H22" s="10"/>
    </row>
    <row r="23" spans="5:8" x14ac:dyDescent="0.35">
      <c r="F23" s="9"/>
      <c r="H23" s="10"/>
    </row>
    <row r="24" spans="5:8" x14ac:dyDescent="0.35">
      <c r="F24" s="9"/>
    </row>
    <row r="25" spans="5:8" x14ac:dyDescent="0.35">
      <c r="F25" s="9"/>
    </row>
    <row r="26" spans="5:8" x14ac:dyDescent="0.35">
      <c r="F26" s="9"/>
    </row>
    <row r="27" spans="5:8" x14ac:dyDescent="0.35">
      <c r="E27" s="21"/>
      <c r="F27" s="18"/>
      <c r="G27" s="11"/>
      <c r="H27" s="10"/>
    </row>
    <row r="28" spans="5:8" x14ac:dyDescent="0.35">
      <c r="F28" s="9"/>
      <c r="G28" s="19"/>
      <c r="H28" s="3"/>
    </row>
    <row r="29" spans="5:8" x14ac:dyDescent="0.35">
      <c r="F29" s="9"/>
      <c r="H29" s="3"/>
    </row>
    <row r="30" spans="5:8" x14ac:dyDescent="0.35">
      <c r="F30" s="9"/>
      <c r="G30" s="19"/>
    </row>
    <row r="31" spans="5:8" x14ac:dyDescent="0.35">
      <c r="F31" s="9"/>
      <c r="G31" s="19"/>
    </row>
    <row r="32" spans="5:8" x14ac:dyDescent="0.35">
      <c r="F32" s="9"/>
      <c r="G32" s="19"/>
    </row>
    <row r="33" spans="6:8" x14ac:dyDescent="0.35">
      <c r="F33" s="9"/>
    </row>
    <row r="34" spans="6:8" x14ac:dyDescent="0.35">
      <c r="F34" s="9"/>
    </row>
    <row r="35" spans="6:8" x14ac:dyDescent="0.35">
      <c r="F35" s="9"/>
    </row>
    <row r="36" spans="6:8" x14ac:dyDescent="0.35">
      <c r="F36" s="9"/>
      <c r="G36" s="19"/>
    </row>
    <row r="37" spans="6:8" x14ac:dyDescent="0.35">
      <c r="F37" s="18"/>
      <c r="G37" s="11"/>
    </row>
    <row r="38" spans="6:8" x14ac:dyDescent="0.35">
      <c r="F38" s="9"/>
    </row>
    <row r="39" spans="6:8" x14ac:dyDescent="0.35">
      <c r="F39" s="9"/>
    </row>
    <row r="40" spans="6:8" x14ac:dyDescent="0.35">
      <c r="F40" s="9"/>
      <c r="H40" s="3"/>
    </row>
    <row r="41" spans="6:8" x14ac:dyDescent="0.35">
      <c r="F41" s="18"/>
      <c r="G41" s="10"/>
      <c r="H41" s="10"/>
    </row>
    <row r="42" spans="6:8" x14ac:dyDescent="0.35">
      <c r="F42" s="18"/>
      <c r="G42" s="10"/>
      <c r="H42" s="10"/>
    </row>
    <row r="43" spans="6:8" x14ac:dyDescent="0.35">
      <c r="F43" s="18"/>
      <c r="G43" s="10"/>
      <c r="H43" s="10"/>
    </row>
    <row r="44" spans="6:8" x14ac:dyDescent="0.35">
      <c r="F44" s="20"/>
      <c r="G44" s="19"/>
      <c r="H44" s="3"/>
    </row>
    <row r="45" spans="6:8" x14ac:dyDescent="0.35">
      <c r="F45" s="9"/>
    </row>
    <row r="50" spans="1:9" x14ac:dyDescent="0.35">
      <c r="A50" s="5" t="s">
        <v>24</v>
      </c>
      <c r="B50" s="1" t="s">
        <v>25</v>
      </c>
      <c r="C50" s="1" t="s">
        <v>26</v>
      </c>
      <c r="D50" s="6" t="s">
        <v>27</v>
      </c>
      <c r="E50" s="5" t="s">
        <v>28</v>
      </c>
      <c r="F50" s="5" t="s">
        <v>29</v>
      </c>
      <c r="H50" s="7" t="s">
        <v>30</v>
      </c>
      <c r="I50" s="4"/>
    </row>
    <row r="51" spans="1:9" x14ac:dyDescent="0.35">
      <c r="A51" s="5">
        <f>SUM(Parts[Price])</f>
        <v>79.09</v>
      </c>
      <c r="B51" s="1">
        <v>100</v>
      </c>
      <c r="C51" s="1">
        <v>50</v>
      </c>
      <c r="D51" s="1">
        <v>100</v>
      </c>
      <c r="E51" s="5">
        <f>SUM(Table3[[#This Row],[University Budget]],Table3[[#This Row],[Niki Project Donation]])</f>
        <v>150</v>
      </c>
      <c r="F51" s="22">
        <f>(Table3[[#This Row],[Personal Budget]]+Table3[[#This Row],[Total Uni Budget]])-Table3[[#This Row],[Price Total]]</f>
        <v>170.91</v>
      </c>
      <c r="H51" s="8" t="s">
        <v>31</v>
      </c>
      <c r="I51" s="4"/>
    </row>
  </sheetData>
  <conditionalFormatting sqref="F2:F4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{18251571-0138-4AD6-9205-5D8E80EB691A}</x14:id>
        </ext>
      </extLst>
    </cfRule>
  </conditionalFormatting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8251571-0138-4AD6-9205-5D8E80EB691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F2:F45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54AEB-BB1F-4AB4-9A8F-819601C71142}">
  <sheetPr codeName="Sheet2"/>
  <dimension ref="A1:I16"/>
  <sheetViews>
    <sheetView zoomScale="70" zoomScaleNormal="70" workbookViewId="0">
      <selection activeCell="A16" sqref="A15:A16"/>
    </sheetView>
  </sheetViews>
  <sheetFormatPr defaultRowHeight="14.5" x14ac:dyDescent="0.35"/>
  <cols>
    <col min="1" max="1" width="15.81640625" bestFit="1" customWidth="1"/>
    <col min="2" max="2" width="13.54296875" customWidth="1"/>
    <col min="3" max="3" width="8.7265625" bestFit="1" customWidth="1"/>
    <col min="4" max="4" width="26.7265625" customWidth="1"/>
    <col min="5" max="5" width="10.08984375" bestFit="1" customWidth="1"/>
    <col min="6" max="6" width="19.6328125" customWidth="1"/>
    <col min="7" max="7" width="20.08984375" bestFit="1" customWidth="1"/>
    <col min="8" max="8" width="77.90625" bestFit="1" customWidth="1"/>
    <col min="9" max="9" width="110.453125" bestFit="1" customWidth="1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s="2" t="s">
        <v>4</v>
      </c>
      <c r="F1" s="1" t="s">
        <v>5</v>
      </c>
      <c r="G1" t="s">
        <v>6</v>
      </c>
      <c r="H1" t="s">
        <v>7</v>
      </c>
      <c r="I1" t="s">
        <v>8</v>
      </c>
    </row>
    <row r="2" spans="1:9" x14ac:dyDescent="0.35">
      <c r="A2">
        <v>1</v>
      </c>
      <c r="B2" t="s">
        <v>36</v>
      </c>
      <c r="C2" t="s">
        <v>32</v>
      </c>
      <c r="D2" t="s">
        <v>37</v>
      </c>
      <c r="E2" s="2">
        <v>1</v>
      </c>
      <c r="F2" s="1">
        <v>8.99</v>
      </c>
      <c r="G2" t="s">
        <v>35</v>
      </c>
      <c r="H2" s="3" t="s">
        <v>33</v>
      </c>
      <c r="I2" t="s">
        <v>34</v>
      </c>
    </row>
    <row r="3" spans="1:9" x14ac:dyDescent="0.35">
      <c r="A3">
        <v>2</v>
      </c>
      <c r="B3" t="s">
        <v>36</v>
      </c>
      <c r="C3" t="s">
        <v>32</v>
      </c>
      <c r="D3" t="s">
        <v>40</v>
      </c>
      <c r="E3" s="2" t="s">
        <v>15</v>
      </c>
      <c r="F3" s="1">
        <v>5.83</v>
      </c>
      <c r="G3" t="s">
        <v>39</v>
      </c>
      <c r="H3" s="3" t="s">
        <v>38</v>
      </c>
      <c r="I3" t="s">
        <v>41</v>
      </c>
    </row>
    <row r="4" spans="1:9" x14ac:dyDescent="0.35">
      <c r="E4" s="2"/>
      <c r="F4" s="1"/>
    </row>
    <row r="15" spans="1:9" x14ac:dyDescent="0.35">
      <c r="A15" s="14" t="s">
        <v>24</v>
      </c>
    </row>
    <row r="16" spans="1:9" x14ac:dyDescent="0.35">
      <c r="A16" s="15">
        <f>SUM(Table5[Price])</f>
        <v>14.82</v>
      </c>
    </row>
  </sheetData>
  <conditionalFormatting sqref="F2:F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{1B290A7D-882B-400A-9C12-E850A1A25A02}</x14:id>
        </ext>
      </extLst>
    </cfRule>
  </conditionalFormatting>
  <hyperlinks>
    <hyperlink ref="H2" r:id="rId1" xr:uid="{BFAB7474-316C-40AF-B673-4C02BDBF0989}"/>
    <hyperlink ref="H3" r:id="rId2" location="shpCntId" xr:uid="{A5BF3056-1126-483D-9491-45603E386D5D}"/>
  </hyperlinks>
  <pageMargins left="0.7" right="0.7" top="0.75" bottom="0.75" header="0.3" footer="0.3"/>
  <tableParts count="2"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B290A7D-882B-400A-9C12-E850A1A25A0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F2:F4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Part List</vt:lpstr>
      <vt:lpstr>Misc Parts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</dc:creator>
  <cp:lastModifiedBy>Ric</cp:lastModifiedBy>
  <dcterms:created xsi:type="dcterms:W3CDTF">2019-11-30T22:55:31Z</dcterms:created>
  <dcterms:modified xsi:type="dcterms:W3CDTF">2019-12-01T20:19:06Z</dcterms:modified>
</cp:coreProperties>
</file>