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Ric\Desktop\UNI\Electronics And Telecommuncations Bach\Year 3\4. Research Project (Thur)\"/>
    </mc:Choice>
  </mc:AlternateContent>
  <xr:revisionPtr revIDLastSave="0" documentId="13_ncr:1_{CC624011-BDA2-4ABA-8F91-781D5748F09C}" xr6:coauthVersionLast="45" xr6:coauthVersionMax="45" xr10:uidLastSave="{00000000-0000-0000-0000-000000000000}"/>
  <bookViews>
    <workbookView xWindow="-110" yWindow="-110" windowWidth="19420" windowHeight="10560" xr2:uid="{F171F75D-AB79-439A-B9BB-AB557E1853B8}"/>
  </bookViews>
  <sheets>
    <sheet name="Part List" sheetId="1" r:id="rId1"/>
    <sheet name="Misc Part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4" i="1" l="1"/>
  <c r="F39" i="1"/>
  <c r="F4" i="1"/>
  <c r="F3" i="1"/>
  <c r="A16" i="2" l="1"/>
  <c r="A51" i="1" l="1"/>
  <c r="E51" i="1"/>
  <c r="F51" i="1" l="1"/>
</calcChain>
</file>

<file path=xl/sharedStrings.xml><?xml version="1.0" encoding="utf-8"?>
<sst xmlns="http://schemas.openxmlformats.org/spreadsheetml/2006/main" count="367" uniqueCount="207">
  <si>
    <t>Parts Reference</t>
  </si>
  <si>
    <t>Type</t>
  </si>
  <si>
    <t>Budget</t>
  </si>
  <si>
    <t>Part</t>
  </si>
  <si>
    <t>Quantity</t>
  </si>
  <si>
    <t>Price</t>
  </si>
  <si>
    <t>Seller</t>
  </si>
  <si>
    <t>Avail at</t>
  </si>
  <si>
    <t>Comment</t>
  </si>
  <si>
    <t>Balloon</t>
  </si>
  <si>
    <t>University</t>
  </si>
  <si>
    <t>600g Latex Balloon</t>
  </si>
  <si>
    <t>Random Engineering ltd</t>
  </si>
  <si>
    <t>Radio</t>
  </si>
  <si>
    <t>uBlox Max-M8Q-10</t>
  </si>
  <si>
    <t>1</t>
  </si>
  <si>
    <t>Uputronics</t>
  </si>
  <si>
    <t>http://www.randomengineering.co.uk/Random_Aerospace/Balloons.html</t>
  </si>
  <si>
    <t>Kaymont: 600g totex TA600 natural latex, helium 1-2lbs payload 250m/min 02.11.19</t>
  </si>
  <si>
    <t>https://store.uputronics.com/index.php?route=product/product&amp;path=60_64&amp;product_id=84</t>
  </si>
  <si>
    <t>This GPS module is proven to work beyond the altitude that the average GPS module will stop working. So there is no radio down time.</t>
  </si>
  <si>
    <t>Radiometrix NTX2B</t>
  </si>
  <si>
    <t>https://radiometrix.mybigcommerce.com/ntx2b-uhf-narrow-band-fm-transmitter-frequency-434-075mhz-434-650mhz-and-458-700mhz/</t>
  </si>
  <si>
    <t>Price Total</t>
  </si>
  <si>
    <t>Personal Budget</t>
  </si>
  <si>
    <t>University Budget</t>
  </si>
  <si>
    <t>Niki Project Donation</t>
  </si>
  <si>
    <t>Total Uni Budget</t>
  </si>
  <si>
    <t>Remainging Budget Left To Use</t>
  </si>
  <si>
    <t>Parachute (req calc 36", sister)</t>
  </si>
  <si>
    <t>Raspberry Pi 3 A+</t>
  </si>
  <si>
    <t>Helium Canister</t>
  </si>
  <si>
    <t>Raspberry Pi Camera V2</t>
  </si>
  <si>
    <t>2.4L Polysterene Box</t>
  </si>
  <si>
    <t>70cm band Mag-Mount Whip Antenna cut to 164mm</t>
  </si>
  <si>
    <t>Nokia GSM (NOT USING)</t>
  </si>
  <si>
    <t>Action Camera</t>
  </si>
  <si>
    <t>Action Camera SD</t>
  </si>
  <si>
    <t>Lithium AA Energiser x4 3000mAh =12,000mAh (1.5v*4) = 6V</t>
  </si>
  <si>
    <t>Raspberry Pi SD</t>
  </si>
  <si>
    <t>MPU-9250 9 Axis Sensor Module (3 acc, 3 gyr, 3 magno)</t>
  </si>
  <si>
    <t>BMP280 (int temp, air press, alt sensor)</t>
  </si>
  <si>
    <t>External Temp thermistor</t>
  </si>
  <si>
    <t>Insulation Wool (NOT USING)</t>
  </si>
  <si>
    <t>Handwarmers (NOT USING)</t>
  </si>
  <si>
    <t>Mobile Internet Dongle/Hotspot</t>
  </si>
  <si>
    <t>Laptop</t>
  </si>
  <si>
    <t>Voltage Sensor</t>
  </si>
  <si>
    <t>GY-302 Ambient Light Sensor</t>
  </si>
  <si>
    <t>GY-8511 UV Light Sensor</t>
  </si>
  <si>
    <t>Humidity Sensor</t>
  </si>
  <si>
    <t>Car Laptop Charger Inverter</t>
  </si>
  <si>
    <t>1mm Nylon Braided Cord</t>
  </si>
  <si>
    <t>Various Cable Ties</t>
  </si>
  <si>
    <t>Duct Tape</t>
  </si>
  <si>
    <t>Water Bottle Filled with Water</t>
  </si>
  <si>
    <t>Ground Tarp</t>
  </si>
  <si>
    <t>Switch x4 AA Battery Holder</t>
  </si>
  <si>
    <t>40L Petrol (if curr 1/4 full, at 120.22L/pl)</t>
  </si>
  <si>
    <t>Latex Gloves</t>
  </si>
  <si>
    <t>Helium Canister Fill Tube</t>
  </si>
  <si>
    <t>SWR Meter (Gooit freq counter)</t>
  </si>
  <si>
    <t>RG174 to SMA pigtail</t>
  </si>
  <si>
    <t>Equipment Wire</t>
  </si>
  <si>
    <t>Braided Hose</t>
  </si>
  <si>
    <t>40mm PVC Waste Pipe</t>
  </si>
  <si>
    <t>High-Altitude-Balloons</t>
  </si>
  <si>
    <t>RS</t>
  </si>
  <si>
    <t>Ebay:letyagauk</t>
  </si>
  <si>
    <t>?</t>
  </si>
  <si>
    <t>Ebay:moonrakerukltd</t>
  </si>
  <si>
    <t>N.A</t>
  </si>
  <si>
    <t>Amazon:Dragon Touch</t>
  </si>
  <si>
    <t>Rapid</t>
  </si>
  <si>
    <t>Ebay:ictuyou</t>
  </si>
  <si>
    <t>Ebay:alltopnotch</t>
  </si>
  <si>
    <t>Ebay:umtmedia</t>
  </si>
  <si>
    <t>Ebay:techkorex</t>
  </si>
  <si>
    <t>Sains/Asda</t>
  </si>
  <si>
    <t>Ebay:xcv-slm</t>
  </si>
  <si>
    <t>http://www.high-altitude-balloon.com/Payload-Parachute-Balloon-Parachute-Instrument-Chute/payload-parachute-balloon-chute-radiosonde-chute-36inch</t>
  </si>
  <si>
    <t>https://uk.rs-online.com/web/p/processor-microcontroller-development-kits/1811853/</t>
  </si>
  <si>
    <t>https://uk.rs-online.com/web/p/video-modules/9132664/</t>
  </si>
  <si>
    <t>https://www.ebay.co.uk/itm/THERMO-INSULATION-POLYSTYRENE-BOXES-FOOD-FISH-REPTILES-PERISHABLE-VARIOUS/233207982930</t>
  </si>
  <si>
    <t>https://www.ebay.co.uk/itm/HAM-Antenna-Kit-Magnetic-Mount-Antenna-DUAL-BAND-2m-70cm/122953868791</t>
  </si>
  <si>
    <t>https://www.ebay.co.uk/itm/RTL-SDR-Blog-V3-RTL2832-1PPM-TCXO-HF-BiasT-SMA-Software-Defined-Radio-Antennas/283144516411</t>
  </si>
  <si>
    <t>https://www.rapidonline.com/energizer-639155-hi-energy-lithium-aa-battery-3000mah-x4-59-1152</t>
  </si>
  <si>
    <t>https://www.ebay.co.uk/itm/MPU-9250-SPI-IIC-9-Axis-Attitude-Module-Gyro-Accelerator-Magnetometer/221545416146</t>
  </si>
  <si>
    <t>https://www.ebay.co.uk/itm/BMP280-3-3V-Pressure-Sensor-Module-Arduino-Precision-Atmospheric-Replace-BMP180/262945369944</t>
  </si>
  <si>
    <t>https://www.ebay.co.uk/itm/Arduino-25v-DC-Input-Voltage-Sensor-Module-Tester-Board-DC001/223529777639</t>
  </si>
  <si>
    <t>https://www.ebay.co.uk/itm/GY-302-BH1750-Digital-Ambient-Light-Intensity-Sensor-Module-I2C-BH1750FVI-16bit/233344174745</t>
  </si>
  <si>
    <t>https://www.ebay.co.uk/itm/GY-8511-ML8511-Sensor-Module-Ultraviolet-Analog-Output-UV-Sensor-for-Arduino-PI/263238052251</t>
  </si>
  <si>
    <t>https://www.amazon.co.uk/Universal-Charger-Inverter-Computer-Sumsung/dp/B0792N9F5M/</t>
  </si>
  <si>
    <t>https://www.ebay.co.uk/itm/400559282398</t>
  </si>
  <si>
    <t>Already Own</t>
  </si>
  <si>
    <t>Free</t>
  </si>
  <si>
    <t>https://www.ebay.co.uk/itm/AA-x-4-Battery-Holder-with-Connection-Wire-Cable-and-On-Off-Switch/192587484441</t>
  </si>
  <si>
    <t>https://www.ebay.co.uk/itm/GOOIT-GY560-50Mhz-to-2-4Ghz-PROTABLE-FREQUENCY-COUNTER-UK-Stock/293269783628</t>
  </si>
  <si>
    <t>https://store.uputronics.com/index.php?route=product/product&amp;path=63&amp;product_id=59</t>
  </si>
  <si>
    <t>https://www.ebay.co.uk/itm/113895625282</t>
  </si>
  <si>
    <t>36 inch parachute as a safeguard at the moment, may need smaller or bigger, depends on payload weight and balloon rements after burst. May have sister fabricate one for cheaper. The price is shown is inclusive of $8 delivery, $20 without delivery</t>
  </si>
  <si>
    <t>The Raspi 3 A+ will be used as the brain of the payload, A+ means it will use less power that other versions of the pi, and hence not waste the lithium cells onboard. Though will it generate enough heat to keep everything warm?</t>
  </si>
  <si>
    <t>The Raspi V2 camera will be used to capture onboard still photos and will be trigger by using a on raspberry pi script that will trigger photos to be taken every 30s or so. This should</t>
  </si>
  <si>
    <t>RTL-SDR Blog V3 RTL2832 1PPM TCXO HF BiasT SMA Software Defined Radio + Antennas</t>
  </si>
  <si>
    <t>BMP180, or successor; BMP280, GY995, MPU…, Steve Randall says the BMP280 does not measure above 30,000ft since the sensor has a range of -500m to 9000m, or 300hPa to 1100hPa. The MS5561 has a range that goes down to 10hPa, but it cannot be found online as easily</t>
  </si>
  <si>
    <t>Is required for laptop in car, to keep it alive since It will be dead by time we have reached the payload</t>
  </si>
  <si>
    <t>Arduino 25v DC Input Voltage Sensor Module Tester Board DC001, to test the voltage of the battery during the flight to see data later on</t>
  </si>
  <si>
    <t>This will be used to connect balloon to parachute to payload, and copes with the cold well, but doesn't have a overally high UTS as stated by the regulations requirements</t>
  </si>
  <si>
    <t>Used to connect the baloon and nylon lines</t>
  </si>
  <si>
    <t>Use to seal helium in the balloon, and payload lid on</t>
  </si>
  <si>
    <t>Used to calculate the positive lift in helium calculator at time of launch</t>
  </si>
  <si>
    <t>This is important to protect the latex balloon at the launch site from the ground to prevent prematurely rupturing it. I can aquire this from my father's work (giant bin bags)</t>
  </si>
  <si>
    <t>I can get this sort of thing from the mechatronics lab, and do not have to purchase it, but since I want to battery to have a built in switch I have chosen to source it from Ebay.</t>
  </si>
  <si>
    <t>If I purchase 3/4 of a 50L tank of petrol from sainsburys or asda. Balloon typically land 3 hours away, to a full tank is important.</t>
  </si>
  <si>
    <t>Previous guides have said it is important not to touch the balloon with bare hands because of the oils on your hand can cause prematurely bursting</t>
  </si>
  <si>
    <t>I need to buy or fabricate a helium fill tube that will connect the helium canister to the balloon and which will transfer the helium to inflate the balloon</t>
  </si>
  <si>
    <t>Used for tuning the reciving antenna/transmitter to resonated 434MHz on the 70cm band</t>
  </si>
  <si>
    <t>Needed to great payload antenna ground plane</t>
  </si>
  <si>
    <t>1+</t>
  </si>
  <si>
    <t>4+</t>
  </si>
  <si>
    <t>30m</t>
  </si>
  <si>
    <t>5+</t>
  </si>
  <si>
    <t>40L</t>
  </si>
  <si>
    <t>1 Pack</t>
  </si>
  <si>
    <t>10m</t>
  </si>
  <si>
    <t>1-2m</t>
  </si>
  <si>
    <t>SDR dongle (RTL-SDR Blog) or (EZCap) or NEWSKY TV28T dongle / Yaesu 817</t>
  </si>
  <si>
    <t>Riccardo</t>
  </si>
  <si>
    <t>https://www.amazon.co.uk/ELEGOO-Breadboard-Solderless-Distribution-Connecting/dp/B01M0QJTI5/ref=sr_1_3?keywords=breadboard&amp;qid=1575160260&amp;sr=8-3</t>
  </si>
  <si>
    <t>3x 380 hole bread boards, 3 for testing multiple circuits without having to dissamble each time</t>
  </si>
  <si>
    <t>Amazon:ELEGOO Offical</t>
  </si>
  <si>
    <t>Electronics</t>
  </si>
  <si>
    <t>x3 830 Point Breadboard</t>
  </si>
  <si>
    <t>5 in 1 RAB Holder Breadboard ABS Base</t>
  </si>
  <si>
    <t>This conviently holds the breadboard and microctroller on a fixed plane. A life saver when dealing with electronics</t>
  </si>
  <si>
    <t>Free, Already Own</t>
  </si>
  <si>
    <t>Yagi Antenna 50W 70cm 434MHz</t>
  </si>
  <si>
    <t>This YAGI is likely required for when the signal is lost upon landing of the payload. Typically the poor line of sight causes signal loss. A YAGI is extreme directional and can be use to pick up faint signals and thus aid in locating the payload</t>
  </si>
  <si>
    <t>PCB Manufacturing Costs</t>
  </si>
  <si>
    <t>JLCPCB</t>
  </si>
  <si>
    <t>NOT USING</t>
  </si>
  <si>
    <t>Amazon:Seelion-UK</t>
  </si>
  <si>
    <t>Ebay:diamonte-designs</t>
  </si>
  <si>
    <t>Ebay:worldchips</t>
  </si>
  <si>
    <t>Ebay:modellingelectronics</t>
  </si>
  <si>
    <t>75mm (taken from 3m length)</t>
  </si>
  <si>
    <t>https://www.screwfix.com/p/floplast-push-fit-pipe-white-40mm-x-3m/65426</t>
  </si>
  <si>
    <t>Screwfix</t>
  </si>
  <si>
    <t>75mm is needed to make a fill tube for the balloon (Helium to balloon tube)</t>
  </si>
  <si>
    <t>amazon.co.uk/Dragon-Touch-Anti-shake-Microphone-Accessories/dp/B07W7P1Y9V/ref=sr_1_3?crid=18VO25A8JLBIZ&amp;keywords=dragon+touch+4k+action+camera&amp;qid=1575238316&amp;sprefix=Dragon+Touch%2Caps%2C328&amp;sr=8-3</t>
  </si>
  <si>
    <t>This action camera will be used to take either video footage or still photos, pointing 30 degrees down to capture the curvature of the Earth</t>
  </si>
  <si>
    <t>https://www.rapidonline.com/kingston-sdcs-64gb-canvas-select-microsdxc-card-64gb-19-7990</t>
  </si>
  <si>
    <t>The SD card is required to store the capture images and videos from the action camera</t>
  </si>
  <si>
    <t>This SD card is needed as means of storage for the raspberry pi photo/and scripts that will run on the pi</t>
  </si>
  <si>
    <t>Ebay or Heather Lomond</t>
  </si>
  <si>
    <t>This is required for the GPS transmitter RF connection to payload antenna</t>
  </si>
  <si>
    <t>This is required to connect the helium canister valve to the balloon neck to inflate the balloon</t>
  </si>
  <si>
    <t>The ambient light sensor is just a sensor to gather data on the amount of light that is present during the flight, Heather used one</t>
  </si>
  <si>
    <t>The UV light sensor is to gather data on the amount of UV exposure during the flight. Likely that it will go up as the balloon rises in altitude</t>
  </si>
  <si>
    <t>An existing laptop will be needed in chase car to track the position of the balloon in flight with a SDR dongle or proper radio using the DL-Fldigi software, which will relay the information to HABHUB to allow others to track the balloon</t>
  </si>
  <si>
    <t>The laptop in the chase car will need to have an internet connection to relay the information to HABHUB. This can be done with internet dongle or mobile hotspot</t>
  </si>
  <si>
    <t>This will gather data on 3 axis accelerometer, 3 axis gyroscope, and 3 axis magnometer</t>
  </si>
  <si>
    <t>A box to house the payload electronics which is lightweight, highly insulating, impact cushioning. Changed from 8L to 2.4L since steve randall said it was overally large</t>
  </si>
  <si>
    <t>This is the antenna that will be connected to the SDR dongle plugged in the laptop in the chase car. The vertical element need to be 164mm 70cm band 434MHz. Single band preferrably</t>
  </si>
  <si>
    <t>These will be required for powering the electronics on the payload, several packs will likely be needed, for testing, actual launch, externally powering the action cameras, rpi, radio tracker, all the sensors, GPS ect. Higher voltages will probably be required. This will be determined when I come to build it</t>
  </si>
  <si>
    <t>I neeed to figure out how much helium I will need, but that depends on the payload total weight, and various other factors, use online helium calculator!</t>
  </si>
  <si>
    <t>The heart of the payload transmitter. Licence free due to the low output power of 10mW. Not to worry since, the sky has VERY good line of sight, but becomes a problem when the balloon payload lands, hence the requirement of a YAGI directional antenna to pick up faint signals</t>
  </si>
  <si>
    <t>I can get this from the Mechatronics lab, possibily. Will be externally mounted on the payload to gather external stratosphere temperature. Likely to get peak value of -55 degrees C</t>
  </si>
  <si>
    <t>Since I need to develope a PCB in kicad, I need to have it made profressionally. I used JLCPCB in my second year for CAN bus, and they provided very nice boards</t>
  </si>
  <si>
    <t>Over budget!</t>
  </si>
  <si>
    <t>Within Budget</t>
  </si>
  <si>
    <t>Key</t>
  </si>
  <si>
    <t>User Typed value</t>
  </si>
  <si>
    <t>Formula Calculated Value</t>
  </si>
  <si>
    <t>MS5661 + MPU9250 Breakout Board</t>
  </si>
  <si>
    <t>Ebay:allce1101983</t>
  </si>
  <si>
    <t>http://www.ebay.co.uk/itm/311518020295</t>
  </si>
  <si>
    <t>This is a superior pressure sensor, and thus altermeter than the one on the BMP280. Since the one on the BMP280 does not function beyound 100hPa (30,000ft) where as the MS5561 altermeter, works up to 100,000ft (10hPa). Although, it is very difficult to find it online. This is combined with the MPU9250 which provides the 3 axis acc, 3 axis gyro, and 3 axis magno</t>
  </si>
  <si>
    <t>Sensor</t>
  </si>
  <si>
    <t>Car</t>
  </si>
  <si>
    <t>Misc</t>
  </si>
  <si>
    <t>Cable</t>
  </si>
  <si>
    <t>Tester</t>
  </si>
  <si>
    <t>Gas</t>
  </si>
  <si>
    <t>Battery</t>
  </si>
  <si>
    <t>Sheet</t>
  </si>
  <si>
    <t>GPS</t>
  </si>
  <si>
    <t>Transmitter</t>
  </si>
  <si>
    <t>Parachute</t>
  </si>
  <si>
    <t>Microcontroller</t>
  </si>
  <si>
    <t>Camera</t>
  </si>
  <si>
    <t>Box</t>
  </si>
  <si>
    <t>Antenna</t>
  </si>
  <si>
    <t>Reciever</t>
  </si>
  <si>
    <t>SD</t>
  </si>
  <si>
    <t>Insulation</t>
  </si>
  <si>
    <t>Internet</t>
  </si>
  <si>
    <t>Computer</t>
  </si>
  <si>
    <t>Cables</t>
  </si>
  <si>
    <t>Ordered</t>
  </si>
  <si>
    <t>Ordered &amp; Delivered</t>
  </si>
  <si>
    <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t>
  </si>
  <si>
    <t>Amazon:SUNFOUNDER</t>
  </si>
  <si>
    <t>Money Spent So Far</t>
  </si>
  <si>
    <t>https://www.ebay.co.uk/itm/Aluminum-UHF-F-7dBi-High-Gain-Yagi-Base-Station-Antenna-Adjust-For-2-Way-Radio/123888257289?epid=24033550941&amp;hash=item1cd850c909:g:dFkAAOSwP5JdOhWu</t>
  </si>
  <si>
    <t>Ebay:loverlydream2017</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</si>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</sst>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00;[Red]&quot;£&quot;#,##0.00"/>
  </numFmts>
  <fonts count="10" x14ac:knownFonts="1">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sz val="11"/>
      <color rgb="FFFF0000"/>
      <name val="Calibri"/>
      <family val="2"/>
      <scheme val="minor"/>
    </font>
    <font>
      <sz val="11"/>
      <color rgb="FFC00000"/>
      <name val="Calibri"/>
      <family val="2"/>
      <scheme val="minor"/>
    </font>
    <font>
      <sz val="11"/>
      <color rgb="FFFFFFFF"/>
      <name val="Calibri"/>
      <family val="2"/>
      <scheme val="minor"/>
    </font>
    <font>
      <sz val="11"/>
      <name val="Calibri"/>
      <family val="2"/>
      <scheme val="minor"/>
    </font>
    <font>
      <sz val="11"/>
      <color rgb="FF92D050"/>
      <name val="Calibri"/>
      <family val="2"/>
      <scheme val="minor"/>
    </font>
    <font>
      <u/>
      <sz val="1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0" tint="-0.34998626667073579"/>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44">
    <xf numFmtId="0" fontId="0" fillId="0" borderId="0" xfId="0"/>
    <xf numFmtId="164" fontId="0" fillId="0" borderId="0" xfId="0" applyNumberFormat="1"/>
    <xf numFmtId="49" fontId="0" fillId="0" borderId="0" xfId="0" applyNumberFormat="1"/>
    <xf numFmtId="0" fontId="3" fillId="0" borderId="0" xfId="1"/>
    <xf numFmtId="0" fontId="0" fillId="0" borderId="0" xfId="0" applyProtection="1">
      <protection hidden="1"/>
    </xf>
    <xf numFmtId="164" fontId="0" fillId="2" borderId="0" xfId="0" applyNumberFormat="1" applyFill="1"/>
    <xf numFmtId="164" fontId="2" fillId="0" borderId="0" xfId="0" applyNumberFormat="1" applyFont="1"/>
    <xf numFmtId="0" fontId="1" fillId="2" borderId="0" xfId="0" applyFont="1" applyFill="1"/>
    <xf numFmtId="0" fontId="1" fillId="3" borderId="0" xfId="0" applyFont="1" applyFill="1"/>
    <xf numFmtId="164" fontId="0" fillId="0" borderId="0" xfId="0" applyNumberFormat="1" applyAlignment="1">
      <alignment horizontal="right"/>
    </xf>
    <xf numFmtId="0" fontId="4" fillId="0" borderId="0" xfId="0" applyFont="1"/>
    <xf numFmtId="0" fontId="5" fillId="0" borderId="0" xfId="0" applyFont="1"/>
    <xf numFmtId="49" fontId="5" fillId="0" borderId="0" xfId="0" applyNumberFormat="1" applyFont="1"/>
    <xf numFmtId="165" fontId="5" fillId="0" borderId="0" xfId="0" applyNumberFormat="1" applyFont="1"/>
    <xf numFmtId="0" fontId="0" fillId="4" borderId="0" xfId="0" applyFill="1"/>
    <xf numFmtId="164" fontId="0" fillId="4" borderId="0" xfId="0" applyNumberFormat="1" applyFill="1"/>
    <xf numFmtId="164" fontId="0" fillId="3" borderId="0" xfId="0" applyNumberFormat="1" applyFill="1"/>
    <xf numFmtId="164" fontId="6" fillId="5" borderId="0" xfId="0" applyNumberFormat="1" applyFont="1" applyFill="1"/>
    <xf numFmtId="164" fontId="5" fillId="0" borderId="0" xfId="0" applyNumberFormat="1" applyFont="1" applyAlignment="1">
      <alignment horizontal="right"/>
    </xf>
    <xf numFmtId="164" fontId="4" fillId="0" borderId="0" xfId="0" applyNumberFormat="1" applyFont="1" applyAlignment="1">
      <alignment horizontal="right"/>
    </xf>
    <xf numFmtId="0" fontId="7" fillId="0" borderId="0" xfId="0" applyFont="1"/>
    <xf numFmtId="164" fontId="7" fillId="0" borderId="0" xfId="0" applyNumberFormat="1" applyFont="1" applyAlignment="1">
      <alignment horizontal="right"/>
    </xf>
    <xf numFmtId="49" fontId="4" fillId="0" borderId="0" xfId="0" applyNumberFormat="1" applyFont="1"/>
    <xf numFmtId="0" fontId="2" fillId="5" borderId="0" xfId="0" applyFont="1" applyFill="1"/>
    <xf numFmtId="0" fontId="2" fillId="6" borderId="0" xfId="0" applyFont="1" applyFill="1"/>
    <xf numFmtId="0" fontId="0" fillId="7" borderId="0" xfId="0" applyFill="1"/>
    <xf numFmtId="0" fontId="0" fillId="8" borderId="0" xfId="0" applyFill="1"/>
    <xf numFmtId="49" fontId="0" fillId="8" borderId="0" xfId="0" applyNumberFormat="1" applyFill="1"/>
    <xf numFmtId="164" fontId="0" fillId="8" borderId="0" xfId="0" applyNumberFormat="1" applyFill="1"/>
    <xf numFmtId="0" fontId="3" fillId="8" borderId="0" xfId="1" applyFill="1"/>
    <xf numFmtId="0" fontId="2" fillId="4" borderId="0" xfId="0" applyFont="1" applyFill="1"/>
    <xf numFmtId="164" fontId="0" fillId="8" borderId="0" xfId="0" applyNumberFormat="1" applyFill="1" applyAlignment="1">
      <alignment horizontal="right"/>
    </xf>
    <xf numFmtId="164" fontId="8" fillId="0" borderId="0" xfId="0" applyNumberFormat="1" applyFont="1"/>
    <xf numFmtId="0" fontId="7" fillId="8" borderId="0" xfId="0" applyFont="1" applyFill="1"/>
    <xf numFmtId="49" fontId="7" fillId="8" borderId="0" xfId="0" applyNumberFormat="1" applyFont="1" applyFill="1"/>
    <xf numFmtId="164" fontId="7" fillId="8" borderId="0" xfId="0" applyNumberFormat="1" applyFont="1" applyFill="1" applyAlignment="1">
      <alignment horizontal="right"/>
    </xf>
    <xf numFmtId="0" fontId="9" fillId="8" borderId="0" xfId="1" applyFont="1" applyFill="1"/>
    <xf numFmtId="0" fontId="0" fillId="8" borderId="0" xfId="0" applyFill="1" applyProtection="1">
      <protection hidden="1"/>
    </xf>
    <xf numFmtId="164" fontId="0" fillId="9" borderId="0" xfId="0" applyNumberFormat="1" applyFill="1"/>
    <xf numFmtId="0" fontId="0" fillId="0" borderId="0" xfId="0" applyFill="1"/>
    <xf numFmtId="49" fontId="0" fillId="0" borderId="0" xfId="0" applyNumberFormat="1" applyFill="1"/>
    <xf numFmtId="164" fontId="7" fillId="0" borderId="0" xfId="0" applyNumberFormat="1" applyFont="1" applyFill="1" applyAlignment="1">
      <alignment horizontal="right"/>
    </xf>
    <xf numFmtId="0" fontId="7" fillId="0" borderId="0" xfId="0" applyFont="1" applyFill="1"/>
    <xf numFmtId="0" fontId="3" fillId="0" borderId="0" xfId="1" applyFill="1"/>
  </cellXfs>
  <cellStyles count="2">
    <cellStyle name="Hyperlink" xfId="1" builtinId="8"/>
    <cellStyle name="Normal" xfId="0" builtinId="0"/>
  </cellStyles>
  <dxfs count="15">
    <dxf>
      <font>
        <color rgb="FFFFFFFF"/>
      </font>
      <numFmt numFmtId="164" formatCode="&quot;£&quot;#,##0.00"/>
      <fill>
        <patternFill patternType="solid">
          <fgColor indexed="64"/>
          <bgColor rgb="FFFF0000"/>
        </patternFill>
      </fill>
    </dxf>
    <dxf>
      <numFmt numFmtId="164" formatCode="&quot;£&quot;#,##0.00"/>
    </dxf>
    <dxf>
      <numFmt numFmtId="164" formatCode="&quot;£&quot;#,##0.00"/>
      <fill>
        <patternFill patternType="solid">
          <fgColor indexed="64"/>
          <bgColor theme="0" tint="-0.14999847407452621"/>
        </patternFill>
      </fill>
    </dxf>
    <dxf>
      <numFmt numFmtId="164" formatCode="&quot;£&quot;#,##0.00"/>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0" tint="-0.34998626667073579"/>
        </patternFill>
      </fill>
    </dxf>
    <dxf>
      <numFmt numFmtId="164" formatCode="&quot;£&quot;#,##0.00"/>
    </dxf>
    <dxf>
      <numFmt numFmtId="30" formatCode="@"/>
    </dxf>
    <dxf>
      <numFmt numFmtId="164" formatCode="&quot;£&quot;#,##0.00"/>
    </dxf>
    <dxf>
      <numFmt numFmtId="164" formatCode="&quot;£&quot;#,##0.00"/>
    </dxf>
    <dxf>
      <numFmt numFmtId="164" formatCode="&quot;£&quot;#,##0.00"/>
    </dxf>
    <dxf>
      <numFmt numFmtId="164" formatCode="&quot;£&quot;#,##0.00"/>
      <fill>
        <patternFill patternType="solid">
          <fgColor indexed="64"/>
          <bgColor theme="0" tint="-0.14999847407452621"/>
        </patternFill>
      </fill>
    </dxf>
    <dxf>
      <numFmt numFmtId="164" formatCode="&quot;£&quot;#,##0.00"/>
    </dxf>
    <dxf>
      <numFmt numFmtId="164" formatCode="&quot;£&quot;#,##0.00"/>
      <alignment horizontal="right" vertical="bottom" textRotation="0" wrapText="0" indent="0" justifyLastLine="0" shrinkToFit="0" readingOrder="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787792-E6D4-4ED3-9ABA-7AF2446267AE}" name="Parts" displayName="Parts" ref="A1:I45" totalsRowShown="0">
  <autoFilter ref="A1:I45" xr:uid="{3F905AC6-8866-46F9-97BA-6C6DBEFDF2AB}"/>
  <tableColumns count="9">
    <tableColumn id="1" xr3:uid="{6ABC0AAA-3556-4988-B4B9-2D0541B84D91}" name="Parts Reference"/>
    <tableColumn id="2" xr3:uid="{70F702D7-4A2E-4A2C-B5A5-0E2AF8CA8D04}" name="Type"/>
    <tableColumn id="3" xr3:uid="{5C95D9FD-43E0-4CC3-8FBF-84E1BD2590B9}" name="Budget"/>
    <tableColumn id="4" xr3:uid="{B07C7CE8-5DD9-4402-B7B7-43ABCE1E2ECF}" name="Part"/>
    <tableColumn id="5" xr3:uid="{AF95AD9F-2153-4FB1-99DE-6EA9A71428A3}" name="Quantity" dataDxfId="14"/>
    <tableColumn id="6" xr3:uid="{8ECA4CEC-9578-491A-89B1-5E153DB2AD43}" name="Price" dataDxfId="13"/>
    <tableColumn id="7" xr3:uid="{EEACEAC9-8B12-4EDC-A4FD-3E973DE4AF9A}" name="Seller"/>
    <tableColumn id="8" xr3:uid="{87A87F23-863C-4D59-A112-7BAB689BB9A7}" name="Avail at"/>
    <tableColumn id="9" xr3:uid="{E01F7407-1806-4601-B9BC-0A36B44FE8CC}" name="Comm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8FCEEB-8274-43EF-A52E-5C1EDC5CB185}" name="Table3" displayName="Table3" ref="A50:G51" totalsRowShown="0" headerRowDxfId="12">
  <autoFilter ref="A50:G51" xr:uid="{4FE4633C-9E63-4F42-B6D2-4251C6126F3B}"/>
  <tableColumns count="7">
    <tableColumn id="1" xr3:uid="{6B5BAC9F-487A-465A-8E4C-E7C5C6306E4D}" name="Price Total" dataDxfId="11">
      <calculatedColumnFormula>SUM(Parts[Price])</calculatedColumnFormula>
    </tableColumn>
    <tableColumn id="5" xr3:uid="{8883DC5E-C573-4EDC-BC29-0755D14BDD59}" name="Personal Budget" dataDxfId="10"/>
    <tableColumn id="2" xr3:uid="{F753D5EC-56D2-487B-B2CD-6029A4FBAF86}" name="University Budget" dataDxfId="9"/>
    <tableColumn id="3" xr3:uid="{8C6A98BA-7DC7-4D8A-AE69-CE06A1D65F31}" name="Niki Project Donation" dataDxfId="8"/>
    <tableColumn id="4" xr3:uid="{B874739F-BCD6-455E-885D-65C91CB22C90}" name="Total Uni Budget" dataDxfId="2">
      <calculatedColumnFormula>SUM(Table3[[#This Row],[University Budget]],Table3[[#This Row],[Niki Project Donation]])</calculatedColumnFormula>
    </tableColumn>
    <tableColumn id="6" xr3:uid="{DE8AC615-0484-4844-A2C7-895BA0C8863E}" name="Remainging Budget Left To Use" dataDxfId="0">
      <calculatedColumnFormula>(Table3[[#This Row],[Personal Budget]]+Table3[[#This Row],[Total Uni Budget]])-Table3[[#This Row],[Price Total]]</calculatedColumnFormula>
    </tableColumn>
    <tableColumn id="7" xr3:uid="{86B058AC-081B-42CA-9CB9-7D13D171D88D}" name="Money Spent So Far"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D4FEF7-F332-4DB0-9292-8B149F9CD3F0}" name="Table5" displayName="Table5" ref="A1:I4" totalsRowShown="0">
  <autoFilter ref="A1:I4" xr:uid="{BDFBED82-01D7-47DA-95D4-BA011EADC8E4}"/>
  <tableColumns count="9">
    <tableColumn id="1" xr3:uid="{0964D214-360F-471F-A3AD-AB40D32881F3}" name="Parts Reference"/>
    <tableColumn id="2" xr3:uid="{04E61DAC-BCF8-4B0E-9C80-564831785550}" name="Type"/>
    <tableColumn id="3" xr3:uid="{1E10E1D7-FCCB-4CA5-8C19-8DD3FFD4E03C}" name="Budget"/>
    <tableColumn id="4" xr3:uid="{92FFD4AE-9ADA-4B13-8FA0-155816CC2584}" name="Part"/>
    <tableColumn id="5" xr3:uid="{B010015C-B593-46EC-A77E-C32EA7E7FC21}" name="Quantity" dataDxfId="7"/>
    <tableColumn id="6" xr3:uid="{13B96A8D-7C07-486C-AE9F-0C5D51ED7581}" name="Price" dataDxfId="6"/>
    <tableColumn id="7" xr3:uid="{269B34C7-543A-46F6-A6C3-7DF216B616FF}" name="Seller"/>
    <tableColumn id="8" xr3:uid="{01A7991C-BB05-4802-9D7E-F73BFC5A2325}" name="Avail at"/>
    <tableColumn id="9" xr3:uid="{920DC693-7AE3-4FA9-A790-4169C872B928}" name="Com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4E86013-06E7-4D61-8595-A14886964672}" name="Table6" displayName="Table6" ref="A15:A16" totalsRowShown="0" headerRowDxfId="5" dataDxfId="4">
  <autoFilter ref="A15:A16" xr:uid="{14D0B7E6-DDE7-48DB-A031-A94D7B773D6A}"/>
  <tableColumns count="1">
    <tableColumn id="1" xr3:uid="{DB3E6F9A-B564-4736-8E7A-A4CBCC9F89F1}" name="Price Total" dataDxfId="3">
      <calculatedColumnFormula>SUM(Table5[Price])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screwfix.com/p/floplast-push-fit-pipe-white-40mm-x-3m/65426" TargetMode="External"/><Relationship Id="rId13" Type="http://schemas.openxmlformats.org/officeDocument/2006/relationships/hyperlink" Target="https://uk.rs-online.com/web/p/processor-microcontroller-development-kits/1811853/" TargetMode="External"/><Relationship Id="rId18" Type="http://schemas.openxmlformats.org/officeDocument/2006/relationships/hyperlink" Target="https://www.ebay.co.uk/itm/GY-302-BH1750-Digital-Ambient-Light-Intensity-Sensor-Module-I2C-BH1750FVI-16bit/233344174745" TargetMode="External"/><Relationship Id="rId3" Type="http://schemas.openxmlformats.org/officeDocument/2006/relationships/hyperlink" Target="https://www.amazon.co.uk/Universal-Charger-Inverter-Computer-Sumsung/dp/B0792N9F5M/" TargetMode="External"/><Relationship Id="rId21" Type="http://schemas.openxmlformats.org/officeDocument/2006/relationships/hyperlink" Target="https://www.ebay.co.uk/itm/GOOIT-GY560-50Mhz-to-2-4Ghz-PROTABLE-FREQUENCY-COUNTER-UK-Stock/293269783628" TargetMode="External"/><Relationship Id="rId7" Type="http://schemas.openxmlformats.org/officeDocument/2006/relationships/hyperlink" Target="https://www.ebay.co.uk/itm/113895625282" TargetMode="External"/><Relationship Id="rId12" Type="http://schemas.openxmlformats.org/officeDocument/2006/relationships/hyperlink" Target="http://www.ebay.co.uk/itm/311518020295" TargetMode="External"/><Relationship Id="rId17" Type="http://schemas.openxmlformats.org/officeDocument/2006/relationships/hyperlink" Target="https://www.ebay.co.uk/itm/Arduino-25v-DC-Input-Voltage-Sensor-Module-Tester-Board-DC001/223529777639" TargetMode="External"/><Relationship Id="rId2" Type="http://schemas.openxmlformats.org/officeDocument/2006/relationships/hyperlink" Target="https://www.ebay.co.uk/itm/Aluminum-UHF-F-7dBi-High-Gain-Yagi-Base-Station-Antenna-Adjust-For-2-Way-Radio/123888257289?epid=24033550941&amp;hash=item1cd850c909:g:dFkAAOSwP5JdOhWu" TargetMode="External"/><Relationship Id="rId16" Type="http://schemas.openxmlformats.org/officeDocument/2006/relationships/hyperlink" Target="https://www.ebay.co.uk/itm/HAM-Antenna-Kit-Magnetic-Mount-Antenna-DUAL-BAND-2m-70cm/122953868791" TargetMode="External"/><Relationship Id="rId20" Type="http://schemas.openxmlformats.org/officeDocument/2006/relationships/hyperlink" Target="https://www.ebay.co.uk/itm/AA-x-4-Battery-Holder-with-Connection-Wire-Cable-and-On-Off-Switch/192587484441" TargetMode="External"/><Relationship Id="rId1" Type="http://schemas.openxmlformats.org/officeDocument/2006/relationships/hyperlink" Target="https://uk.rs-online.com/web/p/video-modules/9132664/" TargetMode="External"/><Relationship Id="rId6" Type="http://schemas.openxmlformats.org/officeDocument/2006/relationships/hyperlink" Target="https://www.ebay.co.uk/itm/BMP280-3-3V-Pressure-Sensor-Module-Arduino-Precision-Atmospheric-Replace-BMP180/262945369944" TargetMode="External"/><Relationship Id="rId11" Type="http://schemas.openxmlformats.org/officeDocument/2006/relationships/hyperlink" Target="https://www.ebay.co.uk/itm/THERMO-INSULATION-POLYSTYRENE-BOXES-FOOD-FISH-REPTILES-PERISHABLE-VARIOUS/233207982930" TargetMode="External"/><Relationship Id="rId24" Type="http://schemas.openxmlformats.org/officeDocument/2006/relationships/table" Target="../tables/table2.xml"/><Relationship Id="rId5" Type="http://schemas.openxmlformats.org/officeDocument/2006/relationships/hyperlink" Target="https://www.ebay.co.uk/itm/MPU-9250-SPI-IIC-9-Axis-Attitude-Module-Gyro-Accelerator-Magnetometer/221545416146" TargetMode="External"/><Relationship Id="rId15" Type="http://schemas.openxmlformats.org/officeDocument/2006/relationships/hyperlink" Target="https://www.ebay.co.uk/itm/RTL-SDR-Blog-V3-RTL2832-1PPM-TCXO-HF-BiasT-SMA-Software-Defined-Radio-Antennas/283144516411" TargetMode="External"/><Relationship Id="rId23" Type="http://schemas.openxmlformats.org/officeDocument/2006/relationships/table" Target="../tables/table1.xml"/><Relationship Id="rId10" Type="http://schemas.openxmlformats.org/officeDocument/2006/relationships/hyperlink" Target="https://www.rapidonline.com/kingston-sdcs-64gb-canvas-select-microsdxc-card-64gb-19-7990" TargetMode="External"/><Relationship Id="rId19" Type="http://schemas.openxmlformats.org/officeDocument/2006/relationships/hyperlink" Target="https://www.ebay.co.uk/itm/GY-8511-ML8511-Sensor-Module-Ultraviolet-Analog-Output-UV-Sensor-for-Arduino-PI/263238052251" TargetMode="External"/><Relationship Id="rId4" Type="http://schemas.openxmlformats.org/officeDocument/2006/relationships/hyperlink" Target="https://www.ebay.co.uk/itm/400559282398" TargetMode="External"/><Relationship Id="rId9" Type="http://schemas.openxmlformats.org/officeDocument/2006/relationships/hyperlink" Target="https://www.rapidonline.com/kingston-sdcs-64gb-canvas-select-microsdxc-card-64gb-19-7990" TargetMode="External"/><Relationship Id="rId14" Type="http://schemas.openxmlformats.org/officeDocument/2006/relationships/hyperlink" Target="https://radiometrix.mybigcommerce.com/ntx2b-uhf-narrow-band-fm-transmitter-frequency-434-075mhz-434-650mhz-and-458-700mhz/"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hyperlink" Target="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TargetMode="External"/><Relationship Id="rId1" Type="http://schemas.openxmlformats.org/officeDocument/2006/relationships/hyperlink" Target="https://www.amazon.co.uk/ELEGOO-Breadboard-Solderless-Distribution-Connecting/dp/B01M0QJTI5/ref=sr_1_3?keywords=breadboard&amp;qid=1575160260&amp;sr=8-3" TargetMode="Externa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16AD7-DE12-48FD-89AD-5F348FE780AF}">
  <sheetPr codeName="Sheet1"/>
  <dimension ref="A1:K53"/>
  <sheetViews>
    <sheetView tabSelected="1" topLeftCell="A28" zoomScale="70" zoomScaleNormal="70" workbookViewId="0">
      <selection activeCell="D49" sqref="D49"/>
    </sheetView>
  </sheetViews>
  <sheetFormatPr defaultRowHeight="14.5" x14ac:dyDescent="0.35"/>
  <cols>
    <col min="1" max="1" width="20.6328125" customWidth="1"/>
    <col min="2" max="2" width="18.26953125" customWidth="1"/>
    <col min="3" max="3" width="18.1796875" customWidth="1"/>
    <col min="4" max="4" width="31.1796875" customWidth="1"/>
    <col min="5" max="5" width="15.7265625" style="2" customWidth="1"/>
    <col min="6" max="6" width="29.54296875" style="1" customWidth="1"/>
    <col min="7" max="7" width="22.7265625" bestFit="1" customWidth="1"/>
    <col min="8" max="8" width="194.7265625" bestFit="1" customWidth="1"/>
    <col min="9" max="9" width="232.26953125" bestFit="1" customWidth="1"/>
  </cols>
  <sheetData>
    <row r="1" spans="1:11" x14ac:dyDescent="0.35">
      <c r="A1" t="s">
        <v>0</v>
      </c>
      <c r="B1" t="s">
        <v>1</v>
      </c>
      <c r="C1" t="s">
        <v>2</v>
      </c>
      <c r="D1" t="s">
        <v>3</v>
      </c>
      <c r="E1" s="2" t="s">
        <v>4</v>
      </c>
      <c r="F1" s="16" t="s">
        <v>5</v>
      </c>
      <c r="G1" t="s">
        <v>6</v>
      </c>
      <c r="H1" t="s">
        <v>7</v>
      </c>
      <c r="I1" t="s">
        <v>8</v>
      </c>
    </row>
    <row r="2" spans="1:11" x14ac:dyDescent="0.35">
      <c r="A2">
        <v>1</v>
      </c>
      <c r="B2" t="s">
        <v>9</v>
      </c>
      <c r="C2" t="s">
        <v>10</v>
      </c>
      <c r="D2" t="s">
        <v>11</v>
      </c>
      <c r="E2" s="2">
        <v>1</v>
      </c>
      <c r="F2" s="9">
        <v>31.7</v>
      </c>
      <c r="G2" t="s">
        <v>12</v>
      </c>
      <c r="H2" t="s">
        <v>17</v>
      </c>
      <c r="I2" t="s">
        <v>18</v>
      </c>
    </row>
    <row r="3" spans="1:11" s="26" customFormat="1" x14ac:dyDescent="0.35">
      <c r="A3" s="26">
        <v>2</v>
      </c>
      <c r="B3" s="26" t="s">
        <v>186</v>
      </c>
      <c r="C3" s="26" t="s">
        <v>10</v>
      </c>
      <c r="D3" s="26" t="s">
        <v>14</v>
      </c>
      <c r="E3" s="27" t="s">
        <v>15</v>
      </c>
      <c r="F3" s="31">
        <f>26.39+5.25</f>
        <v>31.64</v>
      </c>
      <c r="G3" s="26" t="s">
        <v>16</v>
      </c>
      <c r="H3" s="26" t="s">
        <v>19</v>
      </c>
      <c r="I3" s="26" t="s">
        <v>20</v>
      </c>
    </row>
    <row r="4" spans="1:11" s="26" customFormat="1" x14ac:dyDescent="0.35">
      <c r="A4" s="26">
        <v>3</v>
      </c>
      <c r="B4" s="26" t="s">
        <v>187</v>
      </c>
      <c r="C4" s="26" t="s">
        <v>10</v>
      </c>
      <c r="D4" s="26" t="s">
        <v>21</v>
      </c>
      <c r="E4" s="27" t="s">
        <v>15</v>
      </c>
      <c r="F4" s="31">
        <f>27.07+5.25</f>
        <v>32.32</v>
      </c>
      <c r="G4" s="26" t="s">
        <v>16</v>
      </c>
      <c r="H4" s="29" t="s">
        <v>22</v>
      </c>
      <c r="I4" s="37" t="s">
        <v>166</v>
      </c>
    </row>
    <row r="5" spans="1:11" x14ac:dyDescent="0.35">
      <c r="A5">
        <v>4</v>
      </c>
      <c r="B5" t="s">
        <v>188</v>
      </c>
      <c r="C5" t="s">
        <v>10</v>
      </c>
      <c r="D5" t="s">
        <v>29</v>
      </c>
      <c r="E5" s="2" t="s">
        <v>15</v>
      </c>
      <c r="F5" s="9">
        <v>21.65</v>
      </c>
      <c r="G5" t="s">
        <v>66</v>
      </c>
      <c r="H5" t="s">
        <v>80</v>
      </c>
      <c r="I5" t="s">
        <v>100</v>
      </c>
    </row>
    <row r="6" spans="1:11" s="33" customFormat="1" x14ac:dyDescent="0.35">
      <c r="A6" s="33">
        <v>5</v>
      </c>
      <c r="B6" s="33" t="s">
        <v>189</v>
      </c>
      <c r="C6" s="33" t="s">
        <v>10</v>
      </c>
      <c r="D6" s="33" t="s">
        <v>30</v>
      </c>
      <c r="E6" s="34" t="s">
        <v>15</v>
      </c>
      <c r="F6" s="35">
        <v>23.83</v>
      </c>
      <c r="G6" s="33" t="s">
        <v>67</v>
      </c>
      <c r="H6" s="36" t="s">
        <v>81</v>
      </c>
      <c r="I6" s="33" t="s">
        <v>101</v>
      </c>
    </row>
    <row r="7" spans="1:11" s="33" customFormat="1" x14ac:dyDescent="0.35">
      <c r="A7" s="33">
        <v>6</v>
      </c>
      <c r="B7" s="33" t="s">
        <v>190</v>
      </c>
      <c r="C7" s="33" t="s">
        <v>10</v>
      </c>
      <c r="D7" s="33" t="s">
        <v>32</v>
      </c>
      <c r="E7" s="34" t="s">
        <v>15</v>
      </c>
      <c r="F7" s="35">
        <v>24.4</v>
      </c>
      <c r="G7" s="33" t="s">
        <v>67</v>
      </c>
      <c r="H7" s="36" t="s">
        <v>82</v>
      </c>
      <c r="I7" s="33" t="s">
        <v>102</v>
      </c>
    </row>
    <row r="8" spans="1:11" s="26" customFormat="1" x14ac:dyDescent="0.35">
      <c r="A8" s="26">
        <v>7</v>
      </c>
      <c r="B8" s="26" t="s">
        <v>191</v>
      </c>
      <c r="C8" s="26" t="s">
        <v>10</v>
      </c>
      <c r="D8" s="26" t="s">
        <v>33</v>
      </c>
      <c r="E8" s="27" t="s">
        <v>15</v>
      </c>
      <c r="F8" s="31">
        <v>6.95</v>
      </c>
      <c r="G8" s="26" t="s">
        <v>68</v>
      </c>
      <c r="H8" s="29" t="s">
        <v>83</v>
      </c>
      <c r="I8" s="26" t="s">
        <v>162</v>
      </c>
    </row>
    <row r="9" spans="1:11" x14ac:dyDescent="0.35">
      <c r="A9">
        <v>8</v>
      </c>
      <c r="B9" t="s">
        <v>183</v>
      </c>
      <c r="C9" t="s">
        <v>10</v>
      </c>
      <c r="D9" t="s">
        <v>31</v>
      </c>
      <c r="E9" s="2" t="s">
        <v>118</v>
      </c>
      <c r="F9" s="19"/>
      <c r="G9" s="11" t="s">
        <v>69</v>
      </c>
      <c r="I9" s="10" t="s">
        <v>165</v>
      </c>
    </row>
    <row r="10" spans="1:11" x14ac:dyDescent="0.35">
      <c r="A10">
        <v>9</v>
      </c>
      <c r="B10" t="s">
        <v>192</v>
      </c>
      <c r="C10" t="s">
        <v>10</v>
      </c>
      <c r="D10" t="s">
        <v>34</v>
      </c>
      <c r="E10" s="2" t="s">
        <v>15</v>
      </c>
      <c r="F10" s="9">
        <v>24.98</v>
      </c>
      <c r="G10" t="s">
        <v>70</v>
      </c>
      <c r="H10" s="3" t="s">
        <v>84</v>
      </c>
      <c r="I10" t="s">
        <v>163</v>
      </c>
    </row>
    <row r="11" spans="1:11" s="26" customFormat="1" x14ac:dyDescent="0.35">
      <c r="A11" s="26">
        <v>10</v>
      </c>
      <c r="B11" s="26" t="s">
        <v>193</v>
      </c>
      <c r="C11" s="26" t="s">
        <v>10</v>
      </c>
      <c r="D11" s="26" t="s">
        <v>126</v>
      </c>
      <c r="E11" s="27" t="s">
        <v>15</v>
      </c>
      <c r="F11" s="31">
        <v>23.16</v>
      </c>
      <c r="G11" s="26" t="s">
        <v>154</v>
      </c>
      <c r="H11" s="29" t="s">
        <v>85</v>
      </c>
      <c r="I11" s="26" t="s">
        <v>103</v>
      </c>
    </row>
    <row r="12" spans="1:11" s="11" customFormat="1" x14ac:dyDescent="0.35">
      <c r="A12" s="11">
        <v>11</v>
      </c>
      <c r="B12" s="11" t="s">
        <v>186</v>
      </c>
      <c r="C12" s="11" t="s">
        <v>10</v>
      </c>
      <c r="D12" s="11" t="s">
        <v>35</v>
      </c>
      <c r="E12" s="12" t="s">
        <v>15</v>
      </c>
      <c r="F12" s="18" t="s">
        <v>140</v>
      </c>
      <c r="G12" s="11" t="s">
        <v>140</v>
      </c>
      <c r="H12" s="10" t="s">
        <v>140</v>
      </c>
      <c r="I12" s="11" t="s">
        <v>140</v>
      </c>
      <c r="K12" s="13"/>
    </row>
    <row r="13" spans="1:11" x14ac:dyDescent="0.35">
      <c r="A13">
        <v>12</v>
      </c>
      <c r="B13" t="s">
        <v>190</v>
      </c>
      <c r="C13" t="s">
        <v>10</v>
      </c>
      <c r="D13" t="s">
        <v>36</v>
      </c>
      <c r="E13" s="2" t="s">
        <v>15</v>
      </c>
      <c r="F13" s="9">
        <v>29.99</v>
      </c>
      <c r="G13" t="s">
        <v>72</v>
      </c>
      <c r="H13" s="20" t="s">
        <v>149</v>
      </c>
      <c r="I13" t="s">
        <v>150</v>
      </c>
    </row>
    <row r="14" spans="1:11" x14ac:dyDescent="0.35">
      <c r="A14">
        <v>13</v>
      </c>
      <c r="B14" t="s">
        <v>194</v>
      </c>
      <c r="C14" t="s">
        <v>10</v>
      </c>
      <c r="D14" t="s">
        <v>37</v>
      </c>
      <c r="E14" s="2" t="s">
        <v>15</v>
      </c>
      <c r="F14" s="9">
        <v>8.49</v>
      </c>
      <c r="G14" t="s">
        <v>73</v>
      </c>
      <c r="H14" s="3" t="s">
        <v>151</v>
      </c>
      <c r="I14" t="s">
        <v>152</v>
      </c>
    </row>
    <row r="15" spans="1:11" x14ac:dyDescent="0.35">
      <c r="A15">
        <v>14</v>
      </c>
      <c r="B15" t="s">
        <v>184</v>
      </c>
      <c r="C15" t="s">
        <v>10</v>
      </c>
      <c r="D15" t="s">
        <v>38</v>
      </c>
      <c r="E15" s="2" t="s">
        <v>119</v>
      </c>
      <c r="F15" s="9">
        <v>8.4700000000000006</v>
      </c>
      <c r="G15" t="s">
        <v>73</v>
      </c>
      <c r="H15" t="s">
        <v>86</v>
      </c>
      <c r="I15" t="s">
        <v>164</v>
      </c>
    </row>
    <row r="16" spans="1:11" x14ac:dyDescent="0.35">
      <c r="A16">
        <v>15</v>
      </c>
      <c r="B16" t="s">
        <v>194</v>
      </c>
      <c r="C16" t="s">
        <v>10</v>
      </c>
      <c r="D16" t="s">
        <v>39</v>
      </c>
      <c r="E16" s="2" t="s">
        <v>15</v>
      </c>
      <c r="F16" s="9">
        <v>8.49</v>
      </c>
      <c r="G16" t="s">
        <v>73</v>
      </c>
      <c r="H16" s="3" t="s">
        <v>151</v>
      </c>
      <c r="I16" t="s">
        <v>153</v>
      </c>
    </row>
    <row r="17" spans="1:9" s="26" customFormat="1" x14ac:dyDescent="0.35">
      <c r="A17" s="26">
        <v>16</v>
      </c>
      <c r="B17" s="26" t="s">
        <v>178</v>
      </c>
      <c r="C17" s="26" t="s">
        <v>10</v>
      </c>
      <c r="D17" s="26" t="s">
        <v>40</v>
      </c>
      <c r="E17" s="27" t="s">
        <v>15</v>
      </c>
      <c r="F17" s="31">
        <v>2.37</v>
      </c>
      <c r="G17" s="26" t="s">
        <v>143</v>
      </c>
      <c r="H17" s="29" t="s">
        <v>87</v>
      </c>
      <c r="I17" s="26" t="s">
        <v>161</v>
      </c>
    </row>
    <row r="18" spans="1:9" s="26" customFormat="1" x14ac:dyDescent="0.35">
      <c r="A18" s="26">
        <v>17</v>
      </c>
      <c r="B18" s="26" t="s">
        <v>178</v>
      </c>
      <c r="C18" s="26" t="s">
        <v>10</v>
      </c>
      <c r="D18" s="26" t="s">
        <v>41</v>
      </c>
      <c r="E18" s="27" t="s">
        <v>15</v>
      </c>
      <c r="F18" s="31">
        <v>1.85</v>
      </c>
      <c r="G18" s="26" t="s">
        <v>76</v>
      </c>
      <c r="H18" s="29" t="s">
        <v>88</v>
      </c>
      <c r="I18" s="26" t="s">
        <v>104</v>
      </c>
    </row>
    <row r="19" spans="1:9" x14ac:dyDescent="0.35">
      <c r="A19">
        <v>18</v>
      </c>
      <c r="B19" t="s">
        <v>178</v>
      </c>
      <c r="C19" t="s">
        <v>10</v>
      </c>
      <c r="D19" t="s">
        <v>42</v>
      </c>
      <c r="E19" s="2" t="s">
        <v>15</v>
      </c>
      <c r="F19" s="9" t="s">
        <v>95</v>
      </c>
      <c r="G19" s="20" t="s">
        <v>71</v>
      </c>
      <c r="H19" s="20" t="s">
        <v>71</v>
      </c>
      <c r="I19" t="s">
        <v>167</v>
      </c>
    </row>
    <row r="20" spans="1:9" s="11" customFormat="1" x14ac:dyDescent="0.35">
      <c r="A20" s="11">
        <v>19</v>
      </c>
      <c r="B20" s="11" t="s">
        <v>195</v>
      </c>
      <c r="C20" s="11" t="s">
        <v>140</v>
      </c>
      <c r="D20" s="11" t="s">
        <v>43</v>
      </c>
      <c r="E20" s="12" t="s">
        <v>140</v>
      </c>
      <c r="F20" s="18" t="s">
        <v>140</v>
      </c>
      <c r="G20" s="11" t="s">
        <v>140</v>
      </c>
      <c r="H20" s="10" t="s">
        <v>140</v>
      </c>
      <c r="I20" s="11" t="s">
        <v>140</v>
      </c>
    </row>
    <row r="21" spans="1:9" s="11" customFormat="1" x14ac:dyDescent="0.35">
      <c r="A21" s="11">
        <v>20</v>
      </c>
      <c r="B21" s="11" t="s">
        <v>195</v>
      </c>
      <c r="C21" s="11" t="s">
        <v>140</v>
      </c>
      <c r="D21" s="11" t="s">
        <v>44</v>
      </c>
      <c r="E21" s="12" t="s">
        <v>140</v>
      </c>
      <c r="F21" s="18" t="s">
        <v>140</v>
      </c>
      <c r="G21" s="11" t="s">
        <v>140</v>
      </c>
      <c r="H21" s="10" t="s">
        <v>140</v>
      </c>
      <c r="I21" s="11" t="s">
        <v>140</v>
      </c>
    </row>
    <row r="22" spans="1:9" x14ac:dyDescent="0.35">
      <c r="A22">
        <v>21</v>
      </c>
      <c r="B22" t="s">
        <v>196</v>
      </c>
      <c r="C22" t="s">
        <v>10</v>
      </c>
      <c r="D22" t="s">
        <v>45</v>
      </c>
      <c r="E22" s="2" t="s">
        <v>15</v>
      </c>
      <c r="F22" s="9" t="s">
        <v>135</v>
      </c>
      <c r="G22" t="s">
        <v>71</v>
      </c>
      <c r="H22" s="20" t="s">
        <v>71</v>
      </c>
      <c r="I22" t="s">
        <v>160</v>
      </c>
    </row>
    <row r="23" spans="1:9" x14ac:dyDescent="0.35">
      <c r="A23">
        <v>22</v>
      </c>
      <c r="B23" t="s">
        <v>197</v>
      </c>
      <c r="C23" t="s">
        <v>127</v>
      </c>
      <c r="D23" t="s">
        <v>46</v>
      </c>
      <c r="E23" s="2" t="s">
        <v>15</v>
      </c>
      <c r="F23" s="9" t="s">
        <v>135</v>
      </c>
      <c r="G23" t="s">
        <v>71</v>
      </c>
      <c r="H23" s="20" t="s">
        <v>71</v>
      </c>
      <c r="I23" t="s">
        <v>159</v>
      </c>
    </row>
    <row r="24" spans="1:9" s="26" customFormat="1" x14ac:dyDescent="0.35">
      <c r="A24" s="26">
        <v>23</v>
      </c>
      <c r="B24" s="26" t="s">
        <v>178</v>
      </c>
      <c r="C24" s="26" t="s">
        <v>10</v>
      </c>
      <c r="D24" s="26" t="s">
        <v>47</v>
      </c>
      <c r="E24" s="27" t="s">
        <v>15</v>
      </c>
      <c r="F24" s="31">
        <v>1.59</v>
      </c>
      <c r="G24" s="26" t="s">
        <v>74</v>
      </c>
      <c r="H24" s="29" t="s">
        <v>89</v>
      </c>
      <c r="I24" s="26" t="s">
        <v>106</v>
      </c>
    </row>
    <row r="25" spans="1:9" s="26" customFormat="1" x14ac:dyDescent="0.35">
      <c r="A25" s="26">
        <v>24</v>
      </c>
      <c r="B25" s="26" t="s">
        <v>178</v>
      </c>
      <c r="C25" s="26" t="s">
        <v>10</v>
      </c>
      <c r="D25" s="26" t="s">
        <v>48</v>
      </c>
      <c r="E25" s="27" t="s">
        <v>15</v>
      </c>
      <c r="F25" s="31">
        <v>2.4900000000000002</v>
      </c>
      <c r="G25" s="26" t="s">
        <v>75</v>
      </c>
      <c r="H25" s="29" t="s">
        <v>90</v>
      </c>
      <c r="I25" s="26" t="s">
        <v>157</v>
      </c>
    </row>
    <row r="26" spans="1:9" s="26" customFormat="1" x14ac:dyDescent="0.35">
      <c r="A26" s="26">
        <v>25</v>
      </c>
      <c r="B26" s="26" t="s">
        <v>178</v>
      </c>
      <c r="C26" s="26" t="s">
        <v>10</v>
      </c>
      <c r="D26" s="26" t="s">
        <v>49</v>
      </c>
      <c r="E26" s="27" t="s">
        <v>15</v>
      </c>
      <c r="F26" s="31">
        <v>3.95</v>
      </c>
      <c r="G26" s="26" t="s">
        <v>76</v>
      </c>
      <c r="H26" s="29" t="s">
        <v>91</v>
      </c>
      <c r="I26" s="26" t="s">
        <v>158</v>
      </c>
    </row>
    <row r="27" spans="1:9" x14ac:dyDescent="0.35">
      <c r="A27">
        <v>26</v>
      </c>
      <c r="B27" t="s">
        <v>178</v>
      </c>
      <c r="C27" t="s">
        <v>10</v>
      </c>
      <c r="D27" t="s">
        <v>50</v>
      </c>
      <c r="E27" s="22" t="s">
        <v>140</v>
      </c>
      <c r="F27" s="19" t="s">
        <v>140</v>
      </c>
      <c r="G27" s="11" t="s">
        <v>140</v>
      </c>
      <c r="H27" s="10" t="s">
        <v>140</v>
      </c>
      <c r="I27" s="10" t="s">
        <v>140</v>
      </c>
    </row>
    <row r="28" spans="1:9" x14ac:dyDescent="0.35">
      <c r="A28">
        <v>27</v>
      </c>
      <c r="B28" t="s">
        <v>184</v>
      </c>
      <c r="C28" t="s">
        <v>127</v>
      </c>
      <c r="D28" t="s">
        <v>51</v>
      </c>
      <c r="E28" s="2" t="s">
        <v>15</v>
      </c>
      <c r="F28" s="9">
        <v>26.99</v>
      </c>
      <c r="G28" s="20" t="s">
        <v>141</v>
      </c>
      <c r="H28" s="3" t="s">
        <v>92</v>
      </c>
      <c r="I28" t="s">
        <v>105</v>
      </c>
    </row>
    <row r="29" spans="1:9" s="26" customFormat="1" x14ac:dyDescent="0.35">
      <c r="A29" s="26">
        <v>28</v>
      </c>
      <c r="B29" s="26" t="s">
        <v>198</v>
      </c>
      <c r="C29" s="26" t="s">
        <v>10</v>
      </c>
      <c r="D29" s="26" t="s">
        <v>52</v>
      </c>
      <c r="E29" s="27" t="s">
        <v>120</v>
      </c>
      <c r="F29" s="31">
        <v>1.29</v>
      </c>
      <c r="G29" s="26" t="s">
        <v>142</v>
      </c>
      <c r="H29" s="29" t="s">
        <v>93</v>
      </c>
      <c r="I29" s="26" t="s">
        <v>107</v>
      </c>
    </row>
    <row r="30" spans="1:9" x14ac:dyDescent="0.35">
      <c r="A30">
        <v>29</v>
      </c>
      <c r="B30" t="s">
        <v>180</v>
      </c>
      <c r="C30" t="s">
        <v>10</v>
      </c>
      <c r="D30" t="s">
        <v>53</v>
      </c>
      <c r="E30" s="2" t="s">
        <v>121</v>
      </c>
      <c r="F30" s="9" t="s">
        <v>135</v>
      </c>
      <c r="G30" s="20" t="s">
        <v>71</v>
      </c>
      <c r="H30" t="s">
        <v>94</v>
      </c>
      <c r="I30" t="s">
        <v>108</v>
      </c>
    </row>
    <row r="31" spans="1:9" x14ac:dyDescent="0.35">
      <c r="A31">
        <v>30</v>
      </c>
      <c r="B31" t="s">
        <v>180</v>
      </c>
      <c r="C31" t="s">
        <v>10</v>
      </c>
      <c r="D31" t="s">
        <v>54</v>
      </c>
      <c r="E31" s="2" t="s">
        <v>15</v>
      </c>
      <c r="F31" s="9" t="s">
        <v>135</v>
      </c>
      <c r="G31" s="20" t="s">
        <v>71</v>
      </c>
      <c r="H31" t="s">
        <v>94</v>
      </c>
      <c r="I31" t="s">
        <v>109</v>
      </c>
    </row>
    <row r="32" spans="1:9" x14ac:dyDescent="0.35">
      <c r="A32">
        <v>31</v>
      </c>
      <c r="B32" t="s">
        <v>182</v>
      </c>
      <c r="C32" t="s">
        <v>10</v>
      </c>
      <c r="D32" t="s">
        <v>55</v>
      </c>
      <c r="E32" s="2" t="s">
        <v>15</v>
      </c>
      <c r="F32" s="9" t="s">
        <v>135</v>
      </c>
      <c r="G32" s="20" t="s">
        <v>71</v>
      </c>
      <c r="H32" t="s">
        <v>95</v>
      </c>
      <c r="I32" t="s">
        <v>110</v>
      </c>
    </row>
    <row r="33" spans="1:9" x14ac:dyDescent="0.35">
      <c r="A33">
        <v>32</v>
      </c>
      <c r="B33" t="s">
        <v>185</v>
      </c>
      <c r="C33" t="s">
        <v>10</v>
      </c>
      <c r="D33" t="s">
        <v>56</v>
      </c>
      <c r="E33" s="2" t="s">
        <v>15</v>
      </c>
      <c r="F33" s="9" t="s">
        <v>135</v>
      </c>
      <c r="G33" t="s">
        <v>71</v>
      </c>
      <c r="H33" t="s">
        <v>71</v>
      </c>
      <c r="I33" t="s">
        <v>111</v>
      </c>
    </row>
    <row r="34" spans="1:9" s="26" customFormat="1" x14ac:dyDescent="0.35">
      <c r="A34" s="26">
        <v>33</v>
      </c>
      <c r="B34" s="26" t="s">
        <v>184</v>
      </c>
      <c r="C34" s="26" t="s">
        <v>10</v>
      </c>
      <c r="D34" s="26" t="s">
        <v>57</v>
      </c>
      <c r="E34" s="27" t="s">
        <v>206</v>
      </c>
      <c r="F34" s="31">
        <f>1.65*4</f>
        <v>6.6</v>
      </c>
      <c r="G34" s="26" t="s">
        <v>77</v>
      </c>
      <c r="H34" s="29" t="s">
        <v>96</v>
      </c>
      <c r="I34" s="26" t="s">
        <v>112</v>
      </c>
    </row>
    <row r="35" spans="1:9" x14ac:dyDescent="0.35">
      <c r="A35">
        <v>34</v>
      </c>
      <c r="B35" t="s">
        <v>179</v>
      </c>
      <c r="C35" t="s">
        <v>127</v>
      </c>
      <c r="D35" t="s">
        <v>58</v>
      </c>
      <c r="E35" s="2" t="s">
        <v>122</v>
      </c>
      <c r="F35" s="9">
        <v>45.01</v>
      </c>
      <c r="G35" t="s">
        <v>78</v>
      </c>
      <c r="H35" t="s">
        <v>71</v>
      </c>
      <c r="I35" t="s">
        <v>113</v>
      </c>
    </row>
    <row r="36" spans="1:9" x14ac:dyDescent="0.35">
      <c r="A36">
        <v>35</v>
      </c>
      <c r="B36" t="s">
        <v>180</v>
      </c>
      <c r="C36" t="s">
        <v>10</v>
      </c>
      <c r="D36" t="s">
        <v>59</v>
      </c>
      <c r="E36" s="2" t="s">
        <v>123</v>
      </c>
      <c r="F36" s="9" t="s">
        <v>135</v>
      </c>
      <c r="G36" s="20" t="s">
        <v>71</v>
      </c>
      <c r="H36" t="s">
        <v>71</v>
      </c>
      <c r="I36" t="s">
        <v>114</v>
      </c>
    </row>
    <row r="37" spans="1:9" x14ac:dyDescent="0.35">
      <c r="A37">
        <v>36</v>
      </c>
      <c r="B37" t="s">
        <v>183</v>
      </c>
      <c r="C37" t="s">
        <v>10</v>
      </c>
      <c r="D37" t="s">
        <v>60</v>
      </c>
      <c r="E37" s="2" t="s">
        <v>15</v>
      </c>
      <c r="F37" s="19" t="s">
        <v>69</v>
      </c>
      <c r="G37" s="11" t="s">
        <v>71</v>
      </c>
      <c r="H37" t="s">
        <v>71</v>
      </c>
      <c r="I37" t="s">
        <v>115</v>
      </c>
    </row>
    <row r="38" spans="1:9" s="26" customFormat="1" x14ac:dyDescent="0.35">
      <c r="A38" s="26">
        <v>37</v>
      </c>
      <c r="B38" s="26" t="s">
        <v>182</v>
      </c>
      <c r="C38" s="26" t="s">
        <v>10</v>
      </c>
      <c r="D38" s="26" t="s">
        <v>61</v>
      </c>
      <c r="E38" s="27" t="s">
        <v>15</v>
      </c>
      <c r="F38" s="31">
        <v>11.63</v>
      </c>
      <c r="G38" s="26" t="s">
        <v>79</v>
      </c>
      <c r="H38" s="29" t="s">
        <v>97</v>
      </c>
      <c r="I38" s="26" t="s">
        <v>116</v>
      </c>
    </row>
    <row r="39" spans="1:9" s="26" customFormat="1" x14ac:dyDescent="0.35">
      <c r="A39" s="26">
        <v>38</v>
      </c>
      <c r="B39" s="26" t="s">
        <v>181</v>
      </c>
      <c r="C39" s="26" t="s">
        <v>10</v>
      </c>
      <c r="D39" s="26" t="s">
        <v>62</v>
      </c>
      <c r="E39" s="27" t="s">
        <v>15</v>
      </c>
      <c r="F39" s="31">
        <f>5.25+4.8</f>
        <v>10.050000000000001</v>
      </c>
      <c r="G39" s="26" t="s">
        <v>16</v>
      </c>
      <c r="H39" s="26" t="s">
        <v>98</v>
      </c>
      <c r="I39" s="26" t="s">
        <v>155</v>
      </c>
    </row>
    <row r="40" spans="1:9" s="26" customFormat="1" x14ac:dyDescent="0.35">
      <c r="A40" s="26">
        <v>39</v>
      </c>
      <c r="B40" s="26" t="s">
        <v>181</v>
      </c>
      <c r="C40" s="26" t="s">
        <v>10</v>
      </c>
      <c r="D40" s="26" t="s">
        <v>63</v>
      </c>
      <c r="E40" s="27" t="s">
        <v>124</v>
      </c>
      <c r="F40" s="31">
        <v>1.99</v>
      </c>
      <c r="G40" s="26" t="s">
        <v>144</v>
      </c>
      <c r="H40" s="29" t="s">
        <v>99</v>
      </c>
      <c r="I40" s="26" t="s">
        <v>117</v>
      </c>
    </row>
    <row r="41" spans="1:9" s="26" customFormat="1" x14ac:dyDescent="0.35">
      <c r="A41" s="26">
        <v>40</v>
      </c>
      <c r="B41" s="26" t="s">
        <v>178</v>
      </c>
      <c r="C41" s="26" t="s">
        <v>10</v>
      </c>
      <c r="D41" s="26" t="s">
        <v>174</v>
      </c>
      <c r="E41" s="27" t="s">
        <v>15</v>
      </c>
      <c r="F41" s="35">
        <v>9.08</v>
      </c>
      <c r="G41" s="33" t="s">
        <v>175</v>
      </c>
      <c r="H41" s="29" t="s">
        <v>176</v>
      </c>
      <c r="I41" s="26" t="s">
        <v>177</v>
      </c>
    </row>
    <row r="42" spans="1:9" x14ac:dyDescent="0.35">
      <c r="A42">
        <v>41</v>
      </c>
      <c r="B42" t="s">
        <v>13</v>
      </c>
      <c r="C42" t="s">
        <v>10</v>
      </c>
      <c r="D42" t="s">
        <v>64</v>
      </c>
      <c r="E42" s="2" t="s">
        <v>125</v>
      </c>
      <c r="F42" s="21" t="s">
        <v>135</v>
      </c>
      <c r="G42" s="20" t="s">
        <v>71</v>
      </c>
      <c r="H42" s="10" t="s">
        <v>69</v>
      </c>
      <c r="I42" t="s">
        <v>156</v>
      </c>
    </row>
    <row r="43" spans="1:9" s="39" customFormat="1" x14ac:dyDescent="0.35">
      <c r="A43" s="39">
        <v>42</v>
      </c>
      <c r="B43" s="39" t="s">
        <v>13</v>
      </c>
      <c r="C43" s="39" t="s">
        <v>10</v>
      </c>
      <c r="D43" s="39" t="s">
        <v>65</v>
      </c>
      <c r="E43" s="40" t="s">
        <v>145</v>
      </c>
      <c r="F43" s="41">
        <v>2.68</v>
      </c>
      <c r="G43" s="42" t="s">
        <v>147</v>
      </c>
      <c r="H43" s="43" t="s">
        <v>146</v>
      </c>
      <c r="I43" s="39" t="s">
        <v>148</v>
      </c>
    </row>
    <row r="44" spans="1:9" s="26" customFormat="1" x14ac:dyDescent="0.35">
      <c r="A44" s="26">
        <v>43</v>
      </c>
      <c r="B44" s="26" t="s">
        <v>13</v>
      </c>
      <c r="C44" s="26" t="s">
        <v>10</v>
      </c>
      <c r="D44" s="26" t="s">
        <v>136</v>
      </c>
      <c r="E44" s="27" t="s">
        <v>15</v>
      </c>
      <c r="F44" s="35">
        <v>23.35</v>
      </c>
      <c r="G44" s="33" t="s">
        <v>205</v>
      </c>
      <c r="H44" s="29" t="s">
        <v>204</v>
      </c>
      <c r="I44" s="26" t="s">
        <v>137</v>
      </c>
    </row>
    <row r="45" spans="1:9" x14ac:dyDescent="0.35">
      <c r="A45">
        <v>44</v>
      </c>
      <c r="C45" t="s">
        <v>10</v>
      </c>
      <c r="D45" t="s">
        <v>138</v>
      </c>
      <c r="E45" s="2" t="s">
        <v>15</v>
      </c>
      <c r="F45" s="19" t="s">
        <v>69</v>
      </c>
      <c r="G45" t="s">
        <v>139</v>
      </c>
      <c r="H45" t="s">
        <v>71</v>
      </c>
      <c r="I45" t="s">
        <v>168</v>
      </c>
    </row>
    <row r="49" spans="1:9" x14ac:dyDescent="0.35">
      <c r="H49" t="s">
        <v>171</v>
      </c>
    </row>
    <row r="50" spans="1:9" x14ac:dyDescent="0.35">
      <c r="A50" s="5" t="s">
        <v>23</v>
      </c>
      <c r="B50" s="1" t="s">
        <v>24</v>
      </c>
      <c r="C50" s="1" t="s">
        <v>25</v>
      </c>
      <c r="D50" s="6" t="s">
        <v>26</v>
      </c>
      <c r="E50" s="5" t="s">
        <v>27</v>
      </c>
      <c r="F50" s="5" t="s">
        <v>28</v>
      </c>
      <c r="G50" s="38" t="s">
        <v>203</v>
      </c>
      <c r="H50" s="7" t="s">
        <v>173</v>
      </c>
      <c r="I50" s="4"/>
    </row>
    <row r="51" spans="1:9" x14ac:dyDescent="0.35">
      <c r="A51" s="5">
        <f>SUM(Parts[Price])</f>
        <v>426.99000000000007</v>
      </c>
      <c r="B51" s="1">
        <v>100</v>
      </c>
      <c r="C51" s="1">
        <v>50</v>
      </c>
      <c r="D51" s="1">
        <v>200</v>
      </c>
      <c r="E51" s="5">
        <f>SUM(Table3[[#This Row],[University Budget]],Table3[[#This Row],[Niki Project Donation]])</f>
        <v>250</v>
      </c>
      <c r="F51" s="17">
        <f>(Table3[[#This Row],[Personal Budget]]+Table3[[#This Row],[Total Uni Budget]])-Table3[[#This Row],[Price Total]]</f>
        <v>-76.990000000000066</v>
      </c>
      <c r="G51" s="1">
        <v>218.54</v>
      </c>
      <c r="H51" s="8" t="s">
        <v>172</v>
      </c>
      <c r="I51" s="4"/>
    </row>
    <row r="52" spans="1:9" x14ac:dyDescent="0.35">
      <c r="H52" s="23" t="s">
        <v>169</v>
      </c>
    </row>
    <row r="53" spans="1:9" x14ac:dyDescent="0.35">
      <c r="F53" s="32"/>
      <c r="H53" s="24" t="s">
        <v>170</v>
      </c>
    </row>
  </sheetData>
  <conditionalFormatting sqref="F2:F45">
    <cfRule type="dataBar" priority="1">
      <dataBar>
        <cfvo type="min"/>
        <cfvo type="max"/>
        <color rgb="FF638EC6"/>
      </dataBar>
      <extLst>
        <ext xmlns:x14="http://schemas.microsoft.com/office/spreadsheetml/2009/9/main" uri="{B025F937-C7B1-47D3-B67F-A62EFF666E3E}">
          <x14:id>{18251571-0138-4AD6-9205-5D8E80EB691A}</x14:id>
        </ext>
      </extLst>
    </cfRule>
  </conditionalFormatting>
  <hyperlinks>
    <hyperlink ref="H7" r:id="rId1" xr:uid="{040DE411-386F-465B-93F8-6E1D82CF0285}"/>
    <hyperlink ref="H44" r:id="rId2" xr:uid="{53466F54-853F-4C01-82C3-8BFC90622E11}"/>
    <hyperlink ref="H28" r:id="rId3" xr:uid="{A19ED9AF-C90B-40B6-A21C-FC8E369FB7F2}"/>
    <hyperlink ref="H29" r:id="rId4" xr:uid="{12716651-6F79-47F6-BC13-3DE8FCD9FB7A}"/>
    <hyperlink ref="H17" r:id="rId5" xr:uid="{3B3BAF66-DC18-4B98-8AD2-D39DB9ABF6C9}"/>
    <hyperlink ref="H18" r:id="rId6" xr:uid="{AB9A9647-BCF4-4502-8DC6-3AA7CB430C96}"/>
    <hyperlink ref="H40" r:id="rId7" xr:uid="{C6E776A0-30E3-4D7D-8EC2-1C0FC3E62530}"/>
    <hyperlink ref="H43" r:id="rId8" xr:uid="{7BDA4A5A-6C5E-45C9-B1E6-DA84FDA2B93B}"/>
    <hyperlink ref="H14" r:id="rId9" xr:uid="{CE5473BA-0DDE-498C-8AB9-1BAE594533B1}"/>
    <hyperlink ref="H16" r:id="rId10" xr:uid="{FC7AE167-6D61-4B67-9CDC-82E45C38A80A}"/>
    <hyperlink ref="H8" r:id="rId11" xr:uid="{F86B3718-B263-492B-9C24-D97F5314C635}"/>
    <hyperlink ref="H41" r:id="rId12" xr:uid="{8934338C-51BF-4A8A-A0B0-4ECD68ADD94D}"/>
    <hyperlink ref="H6" r:id="rId13" xr:uid="{B929C93F-28C7-42E4-95C6-8AC46A48D408}"/>
    <hyperlink ref="H4" r:id="rId14" xr:uid="{F189EBE4-BA33-43E5-B734-452B432D44F0}"/>
    <hyperlink ref="H11" r:id="rId15" xr:uid="{62FC1B4B-792C-47CF-B1AE-C0A82D90B863}"/>
    <hyperlink ref="H10" r:id="rId16" xr:uid="{9C97CCD2-728D-4170-B90B-6709D8BF1D2E}"/>
    <hyperlink ref="H24" r:id="rId17" xr:uid="{E596595F-DE76-42A8-98A4-B38F932E95FA}"/>
    <hyperlink ref="H25" r:id="rId18" xr:uid="{786C9C6E-5E96-47ED-83DF-BE4813F41097}"/>
    <hyperlink ref="H26" r:id="rId19" xr:uid="{1B97543E-1D7F-41ED-B66A-31CB00A66B40}"/>
    <hyperlink ref="H34" r:id="rId20" xr:uid="{2D62B6C3-34DB-4AB0-8849-B835D3A434B3}"/>
    <hyperlink ref="H38" r:id="rId21" xr:uid="{C1306519-6693-444B-B7BC-5BDC8F70AB1A}"/>
  </hyperlinks>
  <pageMargins left="0.7" right="0.7" top="0.75" bottom="0.75" header="0.3" footer="0.3"/>
  <pageSetup paperSize="9" orientation="portrait" r:id="rId22"/>
  <tableParts count="2">
    <tablePart r:id="rId23"/>
    <tablePart r:id="rId24"/>
  </tableParts>
  <extLst>
    <ext xmlns:x14="http://schemas.microsoft.com/office/spreadsheetml/2009/9/main" uri="{78C0D931-6437-407d-A8EE-F0AAD7539E65}">
      <x14:conditionalFormattings>
        <x14:conditionalFormatting xmlns:xm="http://schemas.microsoft.com/office/excel/2006/main">
          <x14:cfRule type="dataBar" id="{18251571-0138-4AD6-9205-5D8E80EB691A}">
            <x14:dataBar minLength="0" maxLength="100" gradient="0">
              <x14:cfvo type="autoMin"/>
              <x14:cfvo type="autoMax"/>
              <x14:negativeFillColor rgb="FFFF0000"/>
              <x14:axisColor rgb="FF000000"/>
            </x14:dataBar>
          </x14:cfRule>
          <xm:sqref>F2:F45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54AEB-BB1F-4AB4-9A8F-819601C71142}">
  <sheetPr codeName="Sheet2"/>
  <dimension ref="A1:I17"/>
  <sheetViews>
    <sheetView zoomScale="70" zoomScaleNormal="70" workbookViewId="0">
      <selection activeCell="G3" sqref="G3"/>
    </sheetView>
  </sheetViews>
  <sheetFormatPr defaultRowHeight="14.5" x14ac:dyDescent="0.35"/>
  <cols>
    <col min="1" max="1" width="15.81640625" bestFit="1" customWidth="1"/>
    <col min="2" max="2" width="19.6328125" customWidth="1"/>
    <col min="3" max="3" width="8.7265625" bestFit="1" customWidth="1"/>
    <col min="4" max="4" width="26.7265625" customWidth="1"/>
    <col min="5" max="5" width="10.08984375" bestFit="1" customWidth="1"/>
    <col min="6" max="6" width="19.6328125" customWidth="1"/>
    <col min="7" max="7" width="20.08984375" bestFit="1" customWidth="1"/>
    <col min="8" max="8" width="77.90625" bestFit="1" customWidth="1"/>
    <col min="9" max="9" width="110.453125" bestFit="1" customWidth="1"/>
  </cols>
  <sheetData>
    <row r="1" spans="1:9" x14ac:dyDescent="0.35">
      <c r="A1" t="s">
        <v>0</v>
      </c>
      <c r="B1" t="s">
        <v>1</v>
      </c>
      <c r="C1" t="s">
        <v>2</v>
      </c>
      <c r="D1" t="s">
        <v>3</v>
      </c>
      <c r="E1" s="2" t="s">
        <v>4</v>
      </c>
      <c r="F1" s="1" t="s">
        <v>5</v>
      </c>
      <c r="G1" t="s">
        <v>6</v>
      </c>
      <c r="H1" t="s">
        <v>7</v>
      </c>
      <c r="I1" t="s">
        <v>8</v>
      </c>
    </row>
    <row r="2" spans="1:9" s="26" customFormat="1" x14ac:dyDescent="0.35">
      <c r="A2" s="26">
        <v>1</v>
      </c>
      <c r="B2" s="26" t="s">
        <v>131</v>
      </c>
      <c r="C2" s="26" t="s">
        <v>127</v>
      </c>
      <c r="D2" s="26" t="s">
        <v>132</v>
      </c>
      <c r="E2" s="27">
        <v>1</v>
      </c>
      <c r="F2" s="28">
        <v>8.99</v>
      </c>
      <c r="G2" s="26" t="s">
        <v>130</v>
      </c>
      <c r="H2" s="29" t="s">
        <v>128</v>
      </c>
      <c r="I2" s="26" t="s">
        <v>129</v>
      </c>
    </row>
    <row r="3" spans="1:9" x14ac:dyDescent="0.35">
      <c r="A3">
        <v>2</v>
      </c>
      <c r="B3" t="s">
        <v>131</v>
      </c>
      <c r="C3" t="s">
        <v>127</v>
      </c>
      <c r="D3" t="s">
        <v>133</v>
      </c>
      <c r="E3" s="2" t="s">
        <v>15</v>
      </c>
      <c r="F3" s="1">
        <v>5.83</v>
      </c>
      <c r="G3" t="s">
        <v>202</v>
      </c>
      <c r="H3" s="3" t="s">
        <v>201</v>
      </c>
      <c r="I3" t="s">
        <v>134</v>
      </c>
    </row>
    <row r="4" spans="1:9" x14ac:dyDescent="0.35">
      <c r="E4" s="2"/>
      <c r="F4" s="1"/>
    </row>
    <row r="15" spans="1:9" x14ac:dyDescent="0.35">
      <c r="A15" s="14" t="s">
        <v>23</v>
      </c>
      <c r="B15" s="30" t="s">
        <v>171</v>
      </c>
    </row>
    <row r="16" spans="1:9" x14ac:dyDescent="0.35">
      <c r="A16" s="15">
        <f>SUM(Table5[Price])</f>
        <v>14.82</v>
      </c>
      <c r="B16" s="26" t="s">
        <v>199</v>
      </c>
    </row>
    <row r="17" spans="2:2" x14ac:dyDescent="0.35">
      <c r="B17" s="25" t="s">
        <v>200</v>
      </c>
    </row>
  </sheetData>
  <conditionalFormatting sqref="F2:F4">
    <cfRule type="dataBar" priority="1">
      <dataBar>
        <cfvo type="min"/>
        <cfvo type="max"/>
        <color rgb="FF638EC6"/>
      </dataBar>
      <extLst>
        <ext xmlns:x14="http://schemas.microsoft.com/office/spreadsheetml/2009/9/main" uri="{B025F937-C7B1-47D3-B67F-A62EFF666E3E}">
          <x14:id>{1B290A7D-882B-400A-9C12-E850A1A25A02}</x14:id>
        </ext>
      </extLst>
    </cfRule>
  </conditionalFormatting>
  <hyperlinks>
    <hyperlink ref="H2" r:id="rId1" xr:uid="{BFAB7474-316C-40AF-B673-4C02BDBF0989}"/>
    <hyperlink ref="H3" r:id="rId2" display="https://www.amazon.co.uk/SunFounder-Holder-Raspberry-Breadboard-Arduino/dp/B01LYZOPR0/ref=pd_sbs_147_1/258-6624547-4203036?_encoding=UTF8&amp;pd_rd_i=B01LYZOPR0&amp;pd_rd_r=bb004df4-a0de-4674-a419-0eb7e3de87f1&amp;pd_rd_w=X5Frs&amp;pd_rd_wg=gI4ym&amp;pf_rd_p=f4a31d1d-8f61-48f5-b6f4-a22ba06df575&amp;pf_rd_r=PJYE823ETAPR9XR7R2Z0&amp;psc=1&amp;refRID=PJYE823ETAPR9XR7R2Z0" xr:uid="{A5BF3056-1126-483D-9491-45603E386D5D}"/>
  </hyperlinks>
  <pageMargins left="0.7" right="0.7" top="0.75" bottom="0.75" header="0.3" footer="0.3"/>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1B290A7D-882B-400A-9C12-E850A1A25A02}">
            <x14:dataBar minLength="0" maxLength="100" gradient="0">
              <x14:cfvo type="autoMin"/>
              <x14:cfvo type="autoMax"/>
              <x14:negativeFillColor rgb="FFFF0000"/>
              <x14:axisColor rgb="FF000000"/>
            </x14:dataBar>
          </x14:cfRule>
          <xm:sqref>F2:F4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Part List</vt:lpstr>
      <vt:lpstr>Misc Parts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dc:creator>
  <cp:lastModifiedBy>Ric</cp:lastModifiedBy>
  <dcterms:created xsi:type="dcterms:W3CDTF">2019-11-30T22:55:31Z</dcterms:created>
  <dcterms:modified xsi:type="dcterms:W3CDTF">2019-12-12T15:35:15Z</dcterms:modified>
</cp:coreProperties>
</file>